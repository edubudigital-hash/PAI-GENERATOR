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1cb743fc08a60386/Documents/New folder/1. HBE PROTA PROMES TP RPP SMT1 26-27/"/>
    </mc:Choice>
  </mc:AlternateContent>
  <xr:revisionPtr revIDLastSave="16" documentId="13_ncr:1_{7AB031B8-0B50-49C0-9A82-C3774310441A}" xr6:coauthVersionLast="47" xr6:coauthVersionMax="47" xr10:uidLastSave="{FF736772-EA6B-426E-AB03-F527C6490DBA}"/>
  <bookViews>
    <workbookView xWindow="-110" yWindow="-110" windowWidth="19420" windowHeight="10300" xr2:uid="{00000000-000D-0000-FFFF-FFFF00000000}"/>
  </bookViews>
  <sheets>
    <sheet name="Hari Belajar Efektif" sheetId="1" r:id="rId1"/>
    <sheet name="JURNAL Harian" sheetId="2" r:id="rId2"/>
    <sheet name="Jadwal Pelajara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0" i="1" l="1"/>
  <c r="I31" i="1"/>
  <c r="I32" i="1"/>
  <c r="I33" i="1"/>
  <c r="I34" i="1"/>
  <c r="I29" i="1"/>
  <c r="H30" i="1"/>
  <c r="H31" i="1"/>
  <c r="H32" i="1"/>
  <c r="H33" i="1"/>
  <c r="H34" i="1"/>
  <c r="H29" i="1"/>
  <c r="G30" i="1"/>
  <c r="G31" i="1"/>
  <c r="G32" i="1"/>
  <c r="G33" i="1"/>
  <c r="G34" i="1"/>
  <c r="G29" i="1"/>
  <c r="F30" i="1"/>
  <c r="F31" i="1"/>
  <c r="F32" i="1"/>
  <c r="F33" i="1"/>
  <c r="F34" i="1"/>
  <c r="F29" i="1"/>
  <c r="E30" i="1"/>
  <c r="E31" i="1"/>
  <c r="E32" i="1"/>
  <c r="E33" i="1"/>
  <c r="E34" i="1"/>
  <c r="E29" i="1"/>
  <c r="D30" i="1"/>
  <c r="D31" i="1"/>
  <c r="D32" i="1"/>
  <c r="D33" i="1"/>
  <c r="D34" i="1"/>
  <c r="D29" i="1"/>
  <c r="I24" i="1"/>
  <c r="H24" i="1"/>
  <c r="G24" i="1"/>
  <c r="F24" i="1"/>
  <c r="E24" i="1"/>
  <c r="D24" i="1"/>
  <c r="J23" i="1"/>
  <c r="J22" i="1"/>
  <c r="J21" i="1"/>
  <c r="J20" i="1"/>
  <c r="J19" i="1"/>
  <c r="J18" i="1"/>
  <c r="C13" i="1"/>
  <c r="E13" i="1"/>
  <c r="F13" i="1"/>
  <c r="G13" i="1"/>
  <c r="H13" i="1"/>
  <c r="I13" i="1"/>
  <c r="D13" i="1"/>
  <c r="J8" i="1"/>
  <c r="J9" i="1"/>
  <c r="J10" i="1"/>
  <c r="J11" i="1"/>
  <c r="J12" i="1"/>
  <c r="J7" i="1"/>
  <c r="I35" i="1" l="1"/>
  <c r="I40" i="1" s="1"/>
  <c r="I42" i="1" s="1"/>
  <c r="H35" i="1"/>
  <c r="H40" i="1" s="1"/>
  <c r="H42" i="1" s="1"/>
  <c r="G35" i="1"/>
  <c r="G40" i="1" s="1"/>
  <c r="G42" i="1" s="1"/>
  <c r="J33" i="1"/>
  <c r="J32" i="1"/>
  <c r="J31" i="1"/>
  <c r="J30" i="1"/>
  <c r="J34" i="1"/>
  <c r="F35" i="1"/>
  <c r="F40" i="1" s="1"/>
  <c r="F42" i="1" s="1"/>
  <c r="E35" i="1"/>
  <c r="E40" i="1" s="1"/>
  <c r="E42" i="1" s="1"/>
  <c r="J29" i="1"/>
  <c r="D35" i="1"/>
  <c r="D40" i="1" s="1"/>
  <c r="D42" i="1" s="1"/>
  <c r="J24" i="1"/>
  <c r="J13" i="1"/>
  <c r="J35" i="1" l="1"/>
</calcChain>
</file>

<file path=xl/sharedStrings.xml><?xml version="1.0" encoding="utf-8"?>
<sst xmlns="http://schemas.openxmlformats.org/spreadsheetml/2006/main" count="186" uniqueCount="91">
  <si>
    <t>BULAN</t>
  </si>
  <si>
    <t>JUMLAH MINGGU</t>
  </si>
  <si>
    <t>SEBARAN JUMLAH HARI PER BULAN</t>
  </si>
  <si>
    <t>SENIN</t>
  </si>
  <si>
    <t>SELASA</t>
  </si>
  <si>
    <t>RABU</t>
  </si>
  <si>
    <t>KAMIS</t>
  </si>
  <si>
    <t>JUM'AT</t>
  </si>
  <si>
    <t>SABTU</t>
  </si>
  <si>
    <t>JUMLAH HARI</t>
  </si>
  <si>
    <t>JUMLAH</t>
  </si>
  <si>
    <t>JULI</t>
  </si>
  <si>
    <t>AGUSTUS</t>
  </si>
  <si>
    <t>SEPTEMBER</t>
  </si>
  <si>
    <t>OKTOBER</t>
  </si>
  <si>
    <t>NOVEMBER</t>
  </si>
  <si>
    <t>DESEMBER</t>
  </si>
  <si>
    <t>2026</t>
  </si>
  <si>
    <t>KET.</t>
  </si>
  <si>
    <t>SEBARAN JUMLAH HARI TIDAK EFEKTIF/BULAN</t>
  </si>
  <si>
    <t>MPLS</t>
  </si>
  <si>
    <t>PHBN, PHBI</t>
  </si>
  <si>
    <t>STS</t>
  </si>
  <si>
    <t>Cad, SAS, LS1</t>
  </si>
  <si>
    <t>SEBARAN JUMLAH HARI EFEKTIF PER BULAN</t>
  </si>
  <si>
    <t>HARI</t>
  </si>
  <si>
    <t>JADWAL KELAS</t>
  </si>
  <si>
    <t>JUMLAH HARI PERTEMUAN</t>
  </si>
  <si>
    <t>JUMLAH JP PER PERTEMUAN</t>
  </si>
  <si>
    <t>JUMLAH JBE SEMESTER I</t>
  </si>
  <si>
    <t>KLS 2</t>
  </si>
  <si>
    <t>KLS 4</t>
  </si>
  <si>
    <t>KLS 5</t>
  </si>
  <si>
    <t>KLS 1</t>
  </si>
  <si>
    <t>KLS 3-6</t>
  </si>
  <si>
    <t>Keterangan:</t>
  </si>
  <si>
    <t>*Jumlah Hari Efektif per Bulan = Jumlah Hari per Bulan - Hari Tidak Efektif per Bulan</t>
  </si>
  <si>
    <t>Mengetahui,</t>
  </si>
  <si>
    <t>Guru PAIBP,</t>
  </si>
  <si>
    <t>ANALISIS MINGGU EFEKTIF</t>
  </si>
  <si>
    <t>MAPEL PAI-BP SEMESTER I TAHUN PELAJARAN 2026/2027</t>
  </si>
  <si>
    <t>A. RINCIAN JUMLAH MINGGU DAN DISTRIBUSI JUMLAH HARI PER BULAN</t>
  </si>
  <si>
    <t>B. DISTRIBUSI JUMLAH HARI TIDAK EFEKTIF PER BULAN</t>
  </si>
  <si>
    <t>C. DISTRIBUSI JUMLAH HARI EFEKTIF PER BULAN</t>
  </si>
  <si>
    <t>D. ALOKASI JAM BELAJAR EFEKTIF SESUAI JADWAL PELAJARAN PER KELAS</t>
  </si>
  <si>
    <t>*Jumlah JP Mapel PAIBP per Pertemuan dalam Kurikulum Merdeka adalah 3JP dan 1JP untuk Alokasi Kokurikuler jadi 4JP</t>
  </si>
  <si>
    <r>
      <t xml:space="preserve">*Hari Tidak Efektif yaitu: </t>
    </r>
    <r>
      <rPr>
        <b/>
        <i/>
        <sz val="10"/>
        <color theme="1"/>
        <rFont val="Times New Roman"/>
        <family val="1"/>
      </rPr>
      <t>MPLS, PHBN, PHBI, STS, Cadangan, SAS, Libur Sekolah Semester I</t>
    </r>
  </si>
  <si>
    <t>JURNAL PEMBELAJARAN HARIAN MAPEL PAIBP</t>
  </si>
  <si>
    <t>TGL</t>
  </si>
  <si>
    <t>KLS</t>
  </si>
  <si>
    <t>BAB</t>
  </si>
  <si>
    <t>TP</t>
  </si>
  <si>
    <t>MATERI</t>
  </si>
  <si>
    <t>KEGIATAN PEMBELAJARAN</t>
  </si>
  <si>
    <t>MEDIA/SUMBER</t>
  </si>
  <si>
    <t>PENILAIAN</t>
  </si>
  <si>
    <t>KEHADIRAN (CATATAN)</t>
  </si>
  <si>
    <t>SEMESTER I TAHUN PELAJARAN 2026/2027</t>
  </si>
  <si>
    <t>JAM KE</t>
  </si>
  <si>
    <t>WAKTU</t>
  </si>
  <si>
    <t>Upacara</t>
  </si>
  <si>
    <t>Muroja'ah Surat-Surat Juz 30</t>
  </si>
  <si>
    <t>Senam</t>
  </si>
  <si>
    <t>Istirahat</t>
  </si>
  <si>
    <t>Sholat Dhuhur Berjamaah</t>
  </si>
  <si>
    <t>06.55 - 07.15</t>
  </si>
  <si>
    <t>07.15 - 07.50</t>
  </si>
  <si>
    <t>07.50 - 08.25</t>
  </si>
  <si>
    <t>08.25 - 09.00</t>
  </si>
  <si>
    <t>09.00 - 09.35</t>
  </si>
  <si>
    <t>09.35 - 09.50</t>
  </si>
  <si>
    <t>09.50 - 10.25</t>
  </si>
  <si>
    <t>10.25 - 11.00</t>
  </si>
  <si>
    <t>11.00 - 11.35</t>
  </si>
  <si>
    <t>11.35 - 12.10</t>
  </si>
  <si>
    <t>PAI KLS 2</t>
  </si>
  <si>
    <t>PAI KLS 3</t>
  </si>
  <si>
    <t>PAI KLS 4</t>
  </si>
  <si>
    <t>PAI KLS 5</t>
  </si>
  <si>
    <t>PAI KLS 6</t>
  </si>
  <si>
    <t>PAI KLS 1</t>
  </si>
  <si>
    <t>12.10 - selesai</t>
  </si>
  <si>
    <t>JADWAL PELAJARAN</t>
  </si>
  <si>
    <t>MAPEL PAI-BP TAHUN PELAJARAN 2026/2027</t>
  </si>
  <si>
    <t>Kepala &lt;Nama Sekolah&gt;</t>
  </si>
  <si>
    <t>&lt;Nama KS&gt;</t>
  </si>
  <si>
    <t>NIP. &lt;NIP KS&gt;</t>
  </si>
  <si>
    <t>NIP. &lt;NIP Guru&gt;</t>
  </si>
  <si>
    <t>&lt;Nama Guru&gt;</t>
  </si>
  <si>
    <t>&lt;Desa&gt;, 13 Juli 2026</t>
  </si>
  <si>
    <t>&lt;Desa&gt;, …................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</si>
</sst>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  <font>
      <b/>
      <sz val="9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10"/>
      <color theme="1"/>
      <name val="Times New Roman"/>
      <family val="1"/>
    </font>
    <font>
      <i/>
      <sz val="11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0" borderId="5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1" fillId="0" borderId="0" xfId="0" applyFont="1"/>
    <xf numFmtId="0" fontId="2" fillId="4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8" xfId="0" applyFont="1" applyBorder="1"/>
    <xf numFmtId="0" fontId="2" fillId="4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13" borderId="5" xfId="0" applyFont="1" applyFill="1" applyBorder="1" applyAlignment="1">
      <alignment horizontal="center" vertical="center"/>
    </xf>
    <xf numFmtId="0" fontId="11" fillId="13" borderId="9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"/>
  <sheetViews>
    <sheetView tabSelected="1" workbookViewId="0">
      <selection activeCell="K54" sqref="K54"/>
    </sheetView>
  </sheetViews>
  <sheetFormatPr defaultRowHeight="14" x14ac:dyDescent="0.35"/>
  <cols>
    <col min="1" max="1" width="14.90625" style="1" customWidth="1"/>
    <col min="2" max="2" width="5.6328125" style="1" customWidth="1"/>
    <col min="3" max="3" width="12.36328125" style="1" customWidth="1"/>
    <col min="4" max="9" width="9.1796875" style="1" customWidth="1"/>
    <col min="10" max="10" width="10.54296875" style="1" customWidth="1"/>
    <col min="11" max="16384" width="8.7265625" style="1"/>
  </cols>
  <sheetData>
    <row r="1" spans="1:11" ht="15" x14ac:dyDescent="0.35">
      <c r="A1" s="41" t="s">
        <v>39</v>
      </c>
      <c r="B1" s="41"/>
      <c r="C1" s="41"/>
      <c r="D1" s="41"/>
      <c r="E1" s="41"/>
      <c r="F1" s="41"/>
      <c r="G1" s="41"/>
      <c r="H1" s="41"/>
      <c r="I1" s="41"/>
      <c r="J1" s="41"/>
    </row>
    <row r="2" spans="1:11" ht="15" x14ac:dyDescent="0.35">
      <c r="A2" s="41" t="s">
        <v>40</v>
      </c>
      <c r="B2" s="41"/>
      <c r="C2" s="41"/>
      <c r="D2" s="41"/>
      <c r="E2" s="41"/>
      <c r="F2" s="41"/>
      <c r="G2" s="41"/>
      <c r="H2" s="41"/>
      <c r="I2" s="41"/>
      <c r="J2" s="41"/>
    </row>
    <row r="4" spans="1:11" x14ac:dyDescent="0.35">
      <c r="A4" s="2" t="s">
        <v>41</v>
      </c>
    </row>
    <row r="5" spans="1:11" ht="15" customHeight="1" x14ac:dyDescent="0.35">
      <c r="A5" s="34" t="s">
        <v>0</v>
      </c>
      <c r="B5" s="35"/>
      <c r="C5" s="38" t="s">
        <v>1</v>
      </c>
      <c r="D5" s="43" t="s">
        <v>2</v>
      </c>
      <c r="E5" s="43"/>
      <c r="F5" s="43"/>
      <c r="G5" s="43"/>
      <c r="H5" s="43"/>
      <c r="I5" s="43"/>
      <c r="J5" s="38" t="s">
        <v>9</v>
      </c>
      <c r="K5" s="2"/>
    </row>
    <row r="6" spans="1:11" ht="15" customHeight="1" x14ac:dyDescent="0.35">
      <c r="A6" s="36"/>
      <c r="B6" s="37"/>
      <c r="C6" s="38"/>
      <c r="D6" s="5" t="s">
        <v>3</v>
      </c>
      <c r="E6" s="5" t="s">
        <v>4</v>
      </c>
      <c r="F6" s="5" t="s">
        <v>5</v>
      </c>
      <c r="G6" s="5" t="s">
        <v>6</v>
      </c>
      <c r="H6" s="5" t="s">
        <v>7</v>
      </c>
      <c r="I6" s="5" t="s">
        <v>8</v>
      </c>
      <c r="J6" s="38"/>
      <c r="K6" s="2"/>
    </row>
    <row r="7" spans="1:11" x14ac:dyDescent="0.35">
      <c r="A7" s="6" t="s">
        <v>11</v>
      </c>
      <c r="B7" s="7" t="s">
        <v>17</v>
      </c>
      <c r="C7" s="4">
        <v>3</v>
      </c>
      <c r="D7" s="8">
        <v>3</v>
      </c>
      <c r="E7" s="8">
        <v>3</v>
      </c>
      <c r="F7" s="8">
        <v>3</v>
      </c>
      <c r="G7" s="8">
        <v>3</v>
      </c>
      <c r="H7" s="8">
        <v>3</v>
      </c>
      <c r="I7" s="8">
        <v>2</v>
      </c>
      <c r="J7" s="4">
        <f>SUM(D7:I7)</f>
        <v>17</v>
      </c>
    </row>
    <row r="8" spans="1:11" x14ac:dyDescent="0.35">
      <c r="A8" s="6" t="s">
        <v>12</v>
      </c>
      <c r="B8" s="7" t="s">
        <v>17</v>
      </c>
      <c r="C8" s="4">
        <v>6</v>
      </c>
      <c r="D8" s="8">
        <v>5</v>
      </c>
      <c r="E8" s="8">
        <v>4</v>
      </c>
      <c r="F8" s="8">
        <v>4</v>
      </c>
      <c r="G8" s="8">
        <v>4</v>
      </c>
      <c r="H8" s="8">
        <v>4</v>
      </c>
      <c r="I8" s="8">
        <v>5</v>
      </c>
      <c r="J8" s="4">
        <f t="shared" ref="J8:J12" si="0">SUM(D8:I8)</f>
        <v>26</v>
      </c>
    </row>
    <row r="9" spans="1:11" x14ac:dyDescent="0.35">
      <c r="A9" s="6" t="s">
        <v>13</v>
      </c>
      <c r="B9" s="7" t="s">
        <v>17</v>
      </c>
      <c r="C9" s="4">
        <v>5</v>
      </c>
      <c r="D9" s="8">
        <v>4</v>
      </c>
      <c r="E9" s="8">
        <v>5</v>
      </c>
      <c r="F9" s="8">
        <v>5</v>
      </c>
      <c r="G9" s="8">
        <v>4</v>
      </c>
      <c r="H9" s="8">
        <v>4</v>
      </c>
      <c r="I9" s="8">
        <v>4</v>
      </c>
      <c r="J9" s="4">
        <f t="shared" si="0"/>
        <v>26</v>
      </c>
    </row>
    <row r="10" spans="1:11" x14ac:dyDescent="0.35">
      <c r="A10" s="6" t="s">
        <v>14</v>
      </c>
      <c r="B10" s="7" t="s">
        <v>17</v>
      </c>
      <c r="C10" s="4">
        <v>5</v>
      </c>
      <c r="D10" s="8">
        <v>4</v>
      </c>
      <c r="E10" s="8">
        <v>4</v>
      </c>
      <c r="F10" s="8">
        <v>4</v>
      </c>
      <c r="G10" s="8">
        <v>5</v>
      </c>
      <c r="H10" s="8">
        <v>5</v>
      </c>
      <c r="I10" s="8">
        <v>5</v>
      </c>
      <c r="J10" s="4">
        <f t="shared" si="0"/>
        <v>27</v>
      </c>
    </row>
    <row r="11" spans="1:11" x14ac:dyDescent="0.35">
      <c r="A11" s="6" t="s">
        <v>15</v>
      </c>
      <c r="B11" s="7" t="s">
        <v>17</v>
      </c>
      <c r="C11" s="4">
        <v>5</v>
      </c>
      <c r="D11" s="8">
        <v>5</v>
      </c>
      <c r="E11" s="8">
        <v>4</v>
      </c>
      <c r="F11" s="8">
        <v>4</v>
      </c>
      <c r="G11" s="8">
        <v>4</v>
      </c>
      <c r="H11" s="8">
        <v>4</v>
      </c>
      <c r="I11" s="8">
        <v>4</v>
      </c>
      <c r="J11" s="4">
        <f t="shared" si="0"/>
        <v>25</v>
      </c>
    </row>
    <row r="12" spans="1:11" x14ac:dyDescent="0.35">
      <c r="A12" s="6" t="s">
        <v>16</v>
      </c>
      <c r="B12" s="7" t="s">
        <v>17</v>
      </c>
      <c r="C12" s="4">
        <v>5</v>
      </c>
      <c r="D12" s="8">
        <v>4</v>
      </c>
      <c r="E12" s="8">
        <v>5</v>
      </c>
      <c r="F12" s="8">
        <v>5</v>
      </c>
      <c r="G12" s="8">
        <v>5</v>
      </c>
      <c r="H12" s="8">
        <v>4</v>
      </c>
      <c r="I12" s="8">
        <v>4</v>
      </c>
      <c r="J12" s="4">
        <f t="shared" si="0"/>
        <v>27</v>
      </c>
    </row>
    <row r="13" spans="1:11" x14ac:dyDescent="0.35">
      <c r="A13" s="39" t="s">
        <v>10</v>
      </c>
      <c r="B13" s="40"/>
      <c r="C13" s="5">
        <f>SUM(C7:C12)</f>
        <v>29</v>
      </c>
      <c r="D13" s="5">
        <f>SUM(D7:D12)</f>
        <v>25</v>
      </c>
      <c r="E13" s="5">
        <f t="shared" ref="E13:J13" si="1">SUM(E7:E12)</f>
        <v>25</v>
      </c>
      <c r="F13" s="5">
        <f t="shared" si="1"/>
        <v>25</v>
      </c>
      <c r="G13" s="5">
        <f t="shared" si="1"/>
        <v>25</v>
      </c>
      <c r="H13" s="5">
        <f t="shared" si="1"/>
        <v>24</v>
      </c>
      <c r="I13" s="5">
        <f t="shared" si="1"/>
        <v>24</v>
      </c>
      <c r="J13" s="5">
        <f t="shared" si="1"/>
        <v>148</v>
      </c>
    </row>
    <row r="15" spans="1:11" x14ac:dyDescent="0.35">
      <c r="A15" s="2" t="s">
        <v>42</v>
      </c>
    </row>
    <row r="16" spans="1:11" x14ac:dyDescent="0.35">
      <c r="A16" s="34" t="s">
        <v>0</v>
      </c>
      <c r="B16" s="35"/>
      <c r="C16" s="38" t="s">
        <v>18</v>
      </c>
      <c r="D16" s="43" t="s">
        <v>19</v>
      </c>
      <c r="E16" s="43"/>
      <c r="F16" s="43"/>
      <c r="G16" s="43"/>
      <c r="H16" s="43"/>
      <c r="I16" s="43"/>
      <c r="J16" s="38" t="s">
        <v>9</v>
      </c>
    </row>
    <row r="17" spans="1:10" x14ac:dyDescent="0.35">
      <c r="A17" s="36"/>
      <c r="B17" s="37"/>
      <c r="C17" s="38"/>
      <c r="D17" s="5" t="s">
        <v>3</v>
      </c>
      <c r="E17" s="5" t="s">
        <v>4</v>
      </c>
      <c r="F17" s="5" t="s">
        <v>5</v>
      </c>
      <c r="G17" s="5" t="s">
        <v>6</v>
      </c>
      <c r="H17" s="5" t="s">
        <v>7</v>
      </c>
      <c r="I17" s="5" t="s">
        <v>8</v>
      </c>
      <c r="J17" s="38"/>
    </row>
    <row r="18" spans="1:10" x14ac:dyDescent="0.35">
      <c r="A18" s="6" t="s">
        <v>11</v>
      </c>
      <c r="B18" s="7" t="s">
        <v>17</v>
      </c>
      <c r="C18" s="9" t="s">
        <v>20</v>
      </c>
      <c r="D18" s="8">
        <v>1</v>
      </c>
      <c r="E18" s="8">
        <v>1</v>
      </c>
      <c r="F18" s="8">
        <v>1</v>
      </c>
      <c r="G18" s="8">
        <v>0</v>
      </c>
      <c r="H18" s="8">
        <v>0</v>
      </c>
      <c r="I18" s="8">
        <v>0</v>
      </c>
      <c r="J18" s="4">
        <f>SUM(D18:I18)</f>
        <v>3</v>
      </c>
    </row>
    <row r="19" spans="1:10" x14ac:dyDescent="0.35">
      <c r="A19" s="6" t="s">
        <v>12</v>
      </c>
      <c r="B19" s="7" t="s">
        <v>17</v>
      </c>
      <c r="C19" s="9" t="s">
        <v>21</v>
      </c>
      <c r="D19" s="8">
        <v>3</v>
      </c>
      <c r="E19" s="8">
        <v>3</v>
      </c>
      <c r="F19" s="8">
        <v>3</v>
      </c>
      <c r="G19" s="8">
        <v>3</v>
      </c>
      <c r="H19" s="8">
        <v>3</v>
      </c>
      <c r="I19" s="8">
        <v>3</v>
      </c>
      <c r="J19" s="4">
        <f t="shared" ref="J19:J23" si="2">SUM(D19:I19)</f>
        <v>18</v>
      </c>
    </row>
    <row r="20" spans="1:10" x14ac:dyDescent="0.35">
      <c r="A20" s="6" t="s">
        <v>13</v>
      </c>
      <c r="B20" s="7" t="s">
        <v>17</v>
      </c>
      <c r="C20" s="9" t="s">
        <v>22</v>
      </c>
      <c r="D20" s="8">
        <v>1</v>
      </c>
      <c r="E20" s="8">
        <v>1</v>
      </c>
      <c r="F20" s="8">
        <v>1</v>
      </c>
      <c r="G20" s="8">
        <v>1</v>
      </c>
      <c r="H20" s="8">
        <v>1</v>
      </c>
      <c r="I20" s="8">
        <v>1</v>
      </c>
      <c r="J20" s="4">
        <f t="shared" si="2"/>
        <v>6</v>
      </c>
    </row>
    <row r="21" spans="1:10" x14ac:dyDescent="0.35">
      <c r="A21" s="6" t="s">
        <v>14</v>
      </c>
      <c r="B21" s="7" t="s">
        <v>17</v>
      </c>
      <c r="C21" s="9"/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4">
        <f t="shared" si="2"/>
        <v>0</v>
      </c>
    </row>
    <row r="22" spans="1:10" x14ac:dyDescent="0.35">
      <c r="A22" s="6" t="s">
        <v>15</v>
      </c>
      <c r="B22" s="7" t="s">
        <v>17</v>
      </c>
      <c r="C22" s="9"/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4">
        <f t="shared" si="2"/>
        <v>0</v>
      </c>
    </row>
    <row r="23" spans="1:10" x14ac:dyDescent="0.35">
      <c r="A23" s="6" t="s">
        <v>16</v>
      </c>
      <c r="B23" s="7" t="s">
        <v>17</v>
      </c>
      <c r="C23" s="9" t="s">
        <v>23</v>
      </c>
      <c r="D23" s="8">
        <v>4</v>
      </c>
      <c r="E23" s="8">
        <v>5</v>
      </c>
      <c r="F23" s="8">
        <v>5</v>
      </c>
      <c r="G23" s="8">
        <v>5</v>
      </c>
      <c r="H23" s="8">
        <v>4</v>
      </c>
      <c r="I23" s="8">
        <v>4</v>
      </c>
      <c r="J23" s="4">
        <f t="shared" si="2"/>
        <v>27</v>
      </c>
    </row>
    <row r="24" spans="1:10" x14ac:dyDescent="0.35">
      <c r="A24" s="39" t="s">
        <v>10</v>
      </c>
      <c r="B24" s="40"/>
      <c r="C24" s="5"/>
      <c r="D24" s="5">
        <f>SUM(D18:D23)</f>
        <v>9</v>
      </c>
      <c r="E24" s="5">
        <f t="shared" ref="E24" si="3">SUM(E18:E23)</f>
        <v>10</v>
      </c>
      <c r="F24" s="5">
        <f t="shared" ref="F24" si="4">SUM(F18:F23)</f>
        <v>10</v>
      </c>
      <c r="G24" s="5">
        <f t="shared" ref="G24" si="5">SUM(G18:G23)</f>
        <v>9</v>
      </c>
      <c r="H24" s="5">
        <f t="shared" ref="H24" si="6">SUM(H18:H23)</f>
        <v>8</v>
      </c>
      <c r="I24" s="5">
        <f t="shared" ref="I24" si="7">SUM(I18:I23)</f>
        <v>8</v>
      </c>
      <c r="J24" s="5">
        <f t="shared" ref="J24" si="8">SUM(J18:J23)</f>
        <v>54</v>
      </c>
    </row>
    <row r="26" spans="1:10" x14ac:dyDescent="0.35">
      <c r="A26" s="2" t="s">
        <v>43</v>
      </c>
    </row>
    <row r="27" spans="1:10" x14ac:dyDescent="0.35">
      <c r="A27" s="34" t="s">
        <v>0</v>
      </c>
      <c r="B27" s="35"/>
      <c r="C27" s="38"/>
      <c r="D27" s="43" t="s">
        <v>24</v>
      </c>
      <c r="E27" s="43"/>
      <c r="F27" s="43"/>
      <c r="G27" s="43"/>
      <c r="H27" s="43"/>
      <c r="I27" s="43"/>
      <c r="J27" s="38" t="s">
        <v>9</v>
      </c>
    </row>
    <row r="28" spans="1:10" x14ac:dyDescent="0.35">
      <c r="A28" s="36"/>
      <c r="B28" s="37"/>
      <c r="C28" s="38"/>
      <c r="D28" s="5" t="s">
        <v>3</v>
      </c>
      <c r="E28" s="5" t="s">
        <v>4</v>
      </c>
      <c r="F28" s="5" t="s">
        <v>5</v>
      </c>
      <c r="G28" s="5" t="s">
        <v>6</v>
      </c>
      <c r="H28" s="5" t="s">
        <v>7</v>
      </c>
      <c r="I28" s="5" t="s">
        <v>8</v>
      </c>
      <c r="J28" s="38"/>
    </row>
    <row r="29" spans="1:10" x14ac:dyDescent="0.35">
      <c r="A29" s="6" t="s">
        <v>11</v>
      </c>
      <c r="B29" s="7" t="s">
        <v>17</v>
      </c>
      <c r="C29" s="9"/>
      <c r="D29" s="8">
        <f t="shared" ref="D29:I29" si="9">D7-D18</f>
        <v>2</v>
      </c>
      <c r="E29" s="8">
        <f t="shared" si="9"/>
        <v>2</v>
      </c>
      <c r="F29" s="8">
        <f t="shared" si="9"/>
        <v>2</v>
      </c>
      <c r="G29" s="8">
        <f t="shared" si="9"/>
        <v>3</v>
      </c>
      <c r="H29" s="8">
        <f t="shared" si="9"/>
        <v>3</v>
      </c>
      <c r="I29" s="8">
        <f t="shared" si="9"/>
        <v>2</v>
      </c>
      <c r="J29" s="4">
        <f>SUM(D29:I29)</f>
        <v>14</v>
      </c>
    </row>
    <row r="30" spans="1:10" x14ac:dyDescent="0.35">
      <c r="A30" s="6" t="s">
        <v>12</v>
      </c>
      <c r="B30" s="7" t="s">
        <v>17</v>
      </c>
      <c r="C30" s="9"/>
      <c r="D30" s="8">
        <f t="shared" ref="D30:I34" si="10">D8-D19</f>
        <v>2</v>
      </c>
      <c r="E30" s="8">
        <f t="shared" si="10"/>
        <v>1</v>
      </c>
      <c r="F30" s="8">
        <f t="shared" si="10"/>
        <v>1</v>
      </c>
      <c r="G30" s="8">
        <f t="shared" si="10"/>
        <v>1</v>
      </c>
      <c r="H30" s="8">
        <f t="shared" si="10"/>
        <v>1</v>
      </c>
      <c r="I30" s="8">
        <f t="shared" si="10"/>
        <v>2</v>
      </c>
      <c r="J30" s="4">
        <f t="shared" ref="J30:J34" si="11">SUM(D30:I30)</f>
        <v>8</v>
      </c>
    </row>
    <row r="31" spans="1:10" x14ac:dyDescent="0.35">
      <c r="A31" s="6" t="s">
        <v>13</v>
      </c>
      <c r="B31" s="7" t="s">
        <v>17</v>
      </c>
      <c r="C31" s="9"/>
      <c r="D31" s="8">
        <f t="shared" si="10"/>
        <v>3</v>
      </c>
      <c r="E31" s="8">
        <f t="shared" si="10"/>
        <v>4</v>
      </c>
      <c r="F31" s="8">
        <f t="shared" si="10"/>
        <v>4</v>
      </c>
      <c r="G31" s="8">
        <f t="shared" si="10"/>
        <v>3</v>
      </c>
      <c r="H31" s="8">
        <f t="shared" si="10"/>
        <v>3</v>
      </c>
      <c r="I31" s="8">
        <f t="shared" si="10"/>
        <v>3</v>
      </c>
      <c r="J31" s="4">
        <f t="shared" si="11"/>
        <v>20</v>
      </c>
    </row>
    <row r="32" spans="1:10" x14ac:dyDescent="0.35">
      <c r="A32" s="6" t="s">
        <v>14</v>
      </c>
      <c r="B32" s="7" t="s">
        <v>17</v>
      </c>
      <c r="C32" s="9"/>
      <c r="D32" s="8">
        <f t="shared" si="10"/>
        <v>4</v>
      </c>
      <c r="E32" s="8">
        <f t="shared" si="10"/>
        <v>4</v>
      </c>
      <c r="F32" s="8">
        <f t="shared" si="10"/>
        <v>4</v>
      </c>
      <c r="G32" s="8">
        <f t="shared" si="10"/>
        <v>5</v>
      </c>
      <c r="H32" s="8">
        <f t="shared" si="10"/>
        <v>5</v>
      </c>
      <c r="I32" s="8">
        <f t="shared" si="10"/>
        <v>5</v>
      </c>
      <c r="J32" s="4">
        <f t="shared" si="11"/>
        <v>27</v>
      </c>
    </row>
    <row r="33" spans="1:10" x14ac:dyDescent="0.35">
      <c r="A33" s="6" t="s">
        <v>15</v>
      </c>
      <c r="B33" s="7" t="s">
        <v>17</v>
      </c>
      <c r="C33" s="9"/>
      <c r="D33" s="8">
        <f t="shared" si="10"/>
        <v>5</v>
      </c>
      <c r="E33" s="8">
        <f t="shared" si="10"/>
        <v>4</v>
      </c>
      <c r="F33" s="8">
        <f t="shared" si="10"/>
        <v>4</v>
      </c>
      <c r="G33" s="8">
        <f t="shared" si="10"/>
        <v>4</v>
      </c>
      <c r="H33" s="8">
        <f t="shared" si="10"/>
        <v>4</v>
      </c>
      <c r="I33" s="8">
        <f t="shared" si="10"/>
        <v>4</v>
      </c>
      <c r="J33" s="4">
        <f t="shared" si="11"/>
        <v>25</v>
      </c>
    </row>
    <row r="34" spans="1:10" x14ac:dyDescent="0.35">
      <c r="A34" s="6" t="s">
        <v>16</v>
      </c>
      <c r="B34" s="7" t="s">
        <v>17</v>
      </c>
      <c r="C34" s="9"/>
      <c r="D34" s="8">
        <f t="shared" si="10"/>
        <v>0</v>
      </c>
      <c r="E34" s="8">
        <f t="shared" si="10"/>
        <v>0</v>
      </c>
      <c r="F34" s="8">
        <f t="shared" si="10"/>
        <v>0</v>
      </c>
      <c r="G34" s="8">
        <f t="shared" si="10"/>
        <v>0</v>
      </c>
      <c r="H34" s="8">
        <f t="shared" si="10"/>
        <v>0</v>
      </c>
      <c r="I34" s="8">
        <f t="shared" si="10"/>
        <v>0</v>
      </c>
      <c r="J34" s="4">
        <f t="shared" si="11"/>
        <v>0</v>
      </c>
    </row>
    <row r="35" spans="1:10" x14ac:dyDescent="0.35">
      <c r="A35" s="39" t="s">
        <v>10</v>
      </c>
      <c r="B35" s="40"/>
      <c r="C35" s="5"/>
      <c r="D35" s="5">
        <f>SUM(D29:D34)</f>
        <v>16</v>
      </c>
      <c r="E35" s="5">
        <f t="shared" ref="E35" si="12">SUM(E29:E34)</f>
        <v>15</v>
      </c>
      <c r="F35" s="5">
        <f t="shared" ref="F35" si="13">SUM(F29:F34)</f>
        <v>15</v>
      </c>
      <c r="G35" s="5">
        <f t="shared" ref="G35" si="14">SUM(G29:G34)</f>
        <v>16</v>
      </c>
      <c r="H35" s="5">
        <f t="shared" ref="H35" si="15">SUM(H29:H34)</f>
        <v>16</v>
      </c>
      <c r="I35" s="5">
        <f t="shared" ref="I35" si="16">SUM(I29:I34)</f>
        <v>16</v>
      </c>
      <c r="J35" s="5">
        <f t="shared" ref="J35" si="17">SUM(J29:J34)</f>
        <v>94</v>
      </c>
    </row>
    <row r="37" spans="1:10" x14ac:dyDescent="0.35">
      <c r="A37" s="2" t="s">
        <v>44</v>
      </c>
    </row>
    <row r="38" spans="1:10" x14ac:dyDescent="0.35">
      <c r="A38" s="33" t="s">
        <v>25</v>
      </c>
      <c r="B38" s="33"/>
      <c r="C38" s="33"/>
      <c r="D38" s="5" t="s">
        <v>3</v>
      </c>
      <c r="E38" s="5" t="s">
        <v>4</v>
      </c>
      <c r="F38" s="5" t="s">
        <v>5</v>
      </c>
      <c r="G38" s="5" t="s">
        <v>6</v>
      </c>
      <c r="H38" s="5" t="s">
        <v>7</v>
      </c>
      <c r="I38" s="5" t="s">
        <v>8</v>
      </c>
    </row>
    <row r="39" spans="1:10" x14ac:dyDescent="0.35">
      <c r="A39" s="42" t="s">
        <v>26</v>
      </c>
      <c r="B39" s="42"/>
      <c r="C39" s="42"/>
      <c r="D39" s="4" t="s">
        <v>30</v>
      </c>
      <c r="E39" s="4" t="s">
        <v>31</v>
      </c>
      <c r="F39" s="4" t="s">
        <v>32</v>
      </c>
      <c r="G39" s="4" t="s">
        <v>34</v>
      </c>
      <c r="H39" s="4"/>
      <c r="I39" s="4" t="s">
        <v>33</v>
      </c>
    </row>
    <row r="40" spans="1:10" x14ac:dyDescent="0.35">
      <c r="A40" s="32" t="s">
        <v>27</v>
      </c>
      <c r="B40" s="32"/>
      <c r="C40" s="32"/>
      <c r="D40" s="3">
        <f>D35</f>
        <v>16</v>
      </c>
      <c r="E40" s="3">
        <f t="shared" ref="E40:I40" si="18">E35</f>
        <v>15</v>
      </c>
      <c r="F40" s="3">
        <f t="shared" si="18"/>
        <v>15</v>
      </c>
      <c r="G40" s="3">
        <f t="shared" si="18"/>
        <v>16</v>
      </c>
      <c r="H40" s="3">
        <f t="shared" si="18"/>
        <v>16</v>
      </c>
      <c r="I40" s="3">
        <f t="shared" si="18"/>
        <v>16</v>
      </c>
    </row>
    <row r="41" spans="1:10" x14ac:dyDescent="0.35">
      <c r="A41" s="32" t="s">
        <v>28</v>
      </c>
      <c r="B41" s="32"/>
      <c r="C41" s="32"/>
      <c r="D41" s="3">
        <v>4</v>
      </c>
      <c r="E41" s="3">
        <v>4</v>
      </c>
      <c r="F41" s="3">
        <v>4</v>
      </c>
      <c r="G41" s="3">
        <v>4</v>
      </c>
      <c r="H41" s="3">
        <v>4</v>
      </c>
      <c r="I41" s="3">
        <v>4</v>
      </c>
    </row>
    <row r="42" spans="1:10" x14ac:dyDescent="0.35">
      <c r="A42" s="33" t="s">
        <v>29</v>
      </c>
      <c r="B42" s="33"/>
      <c r="C42" s="33"/>
      <c r="D42" s="5" t="str">
        <f>D40*D41 &amp; " JP"</f>
        <v>64 JP</v>
      </c>
      <c r="E42" s="5" t="str">
        <f t="shared" ref="E42:I42" si="19">E40*E41 &amp; " JP"</f>
        <v>60 JP</v>
      </c>
      <c r="F42" s="5" t="str">
        <f t="shared" si="19"/>
        <v>60 JP</v>
      </c>
      <c r="G42" s="5" t="str">
        <f t="shared" si="19"/>
        <v>64 JP</v>
      </c>
      <c r="H42" s="5" t="str">
        <f t="shared" si="19"/>
        <v>64 JP</v>
      </c>
      <c r="I42" s="5" t="str">
        <f t="shared" si="19"/>
        <v>64 JP</v>
      </c>
    </row>
    <row r="44" spans="1:10" x14ac:dyDescent="0.35">
      <c r="A44" s="10" t="s">
        <v>35</v>
      </c>
    </row>
    <row r="45" spans="1:10" x14ac:dyDescent="0.35">
      <c r="A45" s="11" t="s">
        <v>45</v>
      </c>
      <c r="B45" s="12"/>
      <c r="C45" s="12"/>
      <c r="D45" s="12"/>
      <c r="E45" s="12"/>
      <c r="F45" s="12"/>
      <c r="G45" s="12"/>
      <c r="H45" s="12"/>
    </row>
    <row r="46" spans="1:10" x14ac:dyDescent="0.35">
      <c r="A46" s="11" t="s">
        <v>36</v>
      </c>
      <c r="B46" s="12"/>
      <c r="C46" s="12"/>
      <c r="D46" s="12"/>
      <c r="E46" s="12"/>
      <c r="F46" s="12"/>
      <c r="G46" s="12"/>
      <c r="H46" s="12"/>
    </row>
    <row r="47" spans="1:10" ht="14" customHeight="1" x14ac:dyDescent="0.35">
      <c r="A47" s="15" t="s">
        <v>46</v>
      </c>
      <c r="B47" s="14"/>
      <c r="C47" s="14"/>
      <c r="D47" s="14"/>
      <c r="E47" s="14"/>
      <c r="F47" s="14"/>
      <c r="G47" s="14"/>
      <c r="H47" s="14"/>
      <c r="I47" s="14"/>
    </row>
    <row r="48" spans="1:10" ht="14" customHeight="1" x14ac:dyDescent="0.35">
      <c r="A48" s="15"/>
      <c r="B48" s="14"/>
      <c r="C48" s="14"/>
      <c r="D48" s="14"/>
      <c r="E48" s="14"/>
      <c r="F48" s="14"/>
      <c r="G48" s="14"/>
      <c r="H48" s="14"/>
      <c r="I48" s="14"/>
    </row>
    <row r="49" spans="1:9" ht="14" customHeight="1" x14ac:dyDescent="0.35">
      <c r="A49" s="15"/>
      <c r="B49" s="14"/>
      <c r="C49" s="14"/>
      <c r="D49" s="14"/>
      <c r="E49" s="14"/>
      <c r="F49" s="14"/>
      <c r="G49" s="14"/>
      <c r="H49" s="14"/>
      <c r="I49" s="14"/>
    </row>
    <row r="50" spans="1:9" x14ac:dyDescent="0.35">
      <c r="A50" s="14"/>
      <c r="B50" s="14"/>
      <c r="C50" s="14"/>
      <c r="D50" s="14"/>
      <c r="E50" s="14"/>
      <c r="F50" s="14"/>
      <c r="G50" s="14"/>
      <c r="H50" s="14"/>
      <c r="I50" s="14"/>
    </row>
    <row r="51" spans="1:9" x14ac:dyDescent="0.35">
      <c r="G51" s="2" t="s">
        <v>89</v>
      </c>
    </row>
    <row r="52" spans="1:9" x14ac:dyDescent="0.35">
      <c r="C52" s="2" t="s">
        <v>37</v>
      </c>
      <c r="G52" s="2"/>
    </row>
    <row r="53" spans="1:9" x14ac:dyDescent="0.35">
      <c r="C53" s="2" t="s">
        <v>84</v>
      </c>
      <c r="G53" s="2" t="s">
        <v>38</v>
      </c>
    </row>
    <row r="57" spans="1:9" x14ac:dyDescent="0.35">
      <c r="C57" s="13" t="s">
        <v>85</v>
      </c>
      <c r="G57" s="13" t="s">
        <v>88</v>
      </c>
    </row>
    <row r="58" spans="1:9" x14ac:dyDescent="0.35">
      <c r="C58" s="1" t="s">
        <v>86</v>
      </c>
      <c r="G58" s="1" t="s">
        <v>87</v>
      </c>
    </row>
  </sheetData>
  <mergeCells count="22">
    <mergeCell ref="A1:J1"/>
    <mergeCell ref="A2:J2"/>
    <mergeCell ref="A35:B35"/>
    <mergeCell ref="A38:C38"/>
    <mergeCell ref="A39:C39"/>
    <mergeCell ref="D16:I16"/>
    <mergeCell ref="J16:J17"/>
    <mergeCell ref="D27:I27"/>
    <mergeCell ref="J27:J28"/>
    <mergeCell ref="C5:C6"/>
    <mergeCell ref="D5:I5"/>
    <mergeCell ref="J5:J6"/>
    <mergeCell ref="A5:B6"/>
    <mergeCell ref="A13:B13"/>
    <mergeCell ref="A40:C40"/>
    <mergeCell ref="A41:C41"/>
    <mergeCell ref="A42:C42"/>
    <mergeCell ref="A16:B17"/>
    <mergeCell ref="C16:C17"/>
    <mergeCell ref="A24:B24"/>
    <mergeCell ref="A27:B28"/>
    <mergeCell ref="C27:C28"/>
  </mergeCells>
  <phoneticPr fontId="3" type="noConversion"/>
  <pageMargins left="0.59055118110236227" right="0.19685039370078741" top="0.78740157480314965" bottom="0.19685039370078741" header="0.31496062992125984" footer="0.31496062992125984"/>
  <pageSetup paperSize="1000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A2010-FE6C-4CA0-96D6-41CF33AB3462}">
  <dimension ref="A1:K19"/>
  <sheetViews>
    <sheetView topLeftCell="C1" workbookViewId="0">
      <selection activeCell="G14" sqref="G14"/>
    </sheetView>
  </sheetViews>
  <sheetFormatPr defaultColWidth="9.08984375" defaultRowHeight="14" x14ac:dyDescent="0.3"/>
  <cols>
    <col min="1" max="1" width="7.7265625" style="16" customWidth="1"/>
    <col min="2" max="3" width="6.7265625" style="16" customWidth="1"/>
    <col min="4" max="4" width="6.26953125" style="16" customWidth="1"/>
    <col min="5" max="5" width="20.90625" style="16" customWidth="1"/>
    <col min="6" max="6" width="45.6328125" style="16" customWidth="1"/>
    <col min="7" max="7" width="19.36328125" style="16" customWidth="1"/>
    <col min="8" max="8" width="22.81640625" style="16" customWidth="1"/>
    <col min="9" max="9" width="24.453125" style="16" customWidth="1"/>
    <col min="10" max="16384" width="9.08984375" style="16"/>
  </cols>
  <sheetData>
    <row r="1" spans="1:11" ht="15" x14ac:dyDescent="0.3">
      <c r="A1" s="44" t="s">
        <v>47</v>
      </c>
      <c r="B1" s="44"/>
      <c r="C1" s="44"/>
      <c r="D1" s="44"/>
      <c r="E1" s="44"/>
      <c r="F1" s="44"/>
      <c r="G1" s="44"/>
      <c r="H1" s="44"/>
      <c r="I1" s="44"/>
    </row>
    <row r="2" spans="1:11" ht="15" x14ac:dyDescent="0.3">
      <c r="A2" s="44" t="s">
        <v>57</v>
      </c>
      <c r="B2" s="44"/>
      <c r="C2" s="44"/>
      <c r="D2" s="44"/>
      <c r="E2" s="44"/>
      <c r="F2" s="44"/>
      <c r="G2" s="44"/>
      <c r="H2" s="44"/>
      <c r="I2" s="44"/>
    </row>
    <row r="4" spans="1:11" s="18" customFormat="1" ht="28" x14ac:dyDescent="0.3">
      <c r="A4" s="17" t="s">
        <v>48</v>
      </c>
      <c r="B4" s="17" t="s">
        <v>49</v>
      </c>
      <c r="C4" s="17" t="s">
        <v>50</v>
      </c>
      <c r="D4" s="17" t="s">
        <v>51</v>
      </c>
      <c r="E4" s="17" t="s">
        <v>52</v>
      </c>
      <c r="F4" s="17" t="s">
        <v>53</v>
      </c>
      <c r="G4" s="17" t="s">
        <v>54</v>
      </c>
      <c r="H4" s="17" t="s">
        <v>55</v>
      </c>
      <c r="I4" s="17" t="s">
        <v>56</v>
      </c>
    </row>
    <row r="5" spans="1:11" ht="56" customHeight="1" x14ac:dyDescent="0.3">
      <c r="A5" s="19"/>
      <c r="B5" s="19"/>
      <c r="C5" s="19"/>
      <c r="D5" s="19"/>
      <c r="E5" s="19"/>
      <c r="F5" s="19"/>
      <c r="G5" s="19"/>
      <c r="H5" s="19"/>
      <c r="I5" s="19"/>
    </row>
    <row r="6" spans="1:11" ht="56" customHeight="1" x14ac:dyDescent="0.3">
      <c r="A6" s="19"/>
      <c r="B6" s="19"/>
      <c r="C6" s="19"/>
      <c r="D6" s="19"/>
      <c r="E6" s="19"/>
      <c r="F6" s="19"/>
      <c r="G6" s="19"/>
      <c r="H6" s="19"/>
      <c r="I6" s="19"/>
    </row>
    <row r="7" spans="1:11" ht="56" customHeight="1" x14ac:dyDescent="0.3">
      <c r="A7" s="19"/>
      <c r="B7" s="19"/>
      <c r="C7" s="19"/>
      <c r="D7" s="19"/>
      <c r="E7" s="19"/>
      <c r="F7" s="19"/>
      <c r="G7" s="19"/>
      <c r="H7" s="19"/>
      <c r="I7" s="19"/>
    </row>
    <row r="8" spans="1:11" ht="56" customHeight="1" x14ac:dyDescent="0.3">
      <c r="A8" s="19"/>
      <c r="B8" s="19"/>
      <c r="C8" s="19"/>
      <c r="D8" s="19"/>
      <c r="E8" s="19"/>
      <c r="F8" s="19"/>
      <c r="G8" s="19"/>
      <c r="H8" s="19"/>
      <c r="I8" s="19"/>
    </row>
    <row r="9" spans="1:11" ht="56" customHeight="1" x14ac:dyDescent="0.3">
      <c r="A9" s="19"/>
      <c r="B9" s="19"/>
      <c r="C9" s="19"/>
      <c r="D9" s="19"/>
      <c r="E9" s="19"/>
      <c r="F9" s="19"/>
      <c r="G9" s="19"/>
      <c r="H9" s="19"/>
      <c r="I9" s="19"/>
    </row>
    <row r="10" spans="1:11" ht="56" customHeight="1" x14ac:dyDescent="0.3">
      <c r="A10" s="19"/>
      <c r="B10" s="19"/>
      <c r="C10" s="19"/>
      <c r="D10" s="19"/>
      <c r="E10" s="19"/>
      <c r="F10" s="19"/>
      <c r="G10" s="19"/>
      <c r="H10" s="19"/>
      <c r="I10" s="19"/>
    </row>
    <row r="12" spans="1:11" x14ac:dyDescent="0.3">
      <c r="H12" s="16" t="s">
        <v>90</v>
      </c>
    </row>
    <row r="13" spans="1:11" x14ac:dyDescent="0.3">
      <c r="F13" s="2" t="s">
        <v>37</v>
      </c>
      <c r="G13" s="1"/>
      <c r="H13" s="1"/>
      <c r="I13" s="1"/>
      <c r="J13" s="2"/>
      <c r="K13" s="1"/>
    </row>
    <row r="14" spans="1:11" x14ac:dyDescent="0.3">
      <c r="F14" s="2" t="s">
        <v>84</v>
      </c>
      <c r="G14" s="1"/>
      <c r="H14" s="2" t="s">
        <v>38</v>
      </c>
      <c r="I14" s="1"/>
      <c r="K14" s="1"/>
    </row>
    <row r="15" spans="1:11" x14ac:dyDescent="0.3">
      <c r="F15" s="1"/>
      <c r="G15" s="1"/>
      <c r="H15" s="1"/>
      <c r="I15" s="1"/>
      <c r="K15" s="1"/>
    </row>
    <row r="16" spans="1:11" x14ac:dyDescent="0.3">
      <c r="F16" s="1"/>
      <c r="G16" s="1"/>
      <c r="H16" s="1"/>
      <c r="I16" s="1"/>
      <c r="K16" s="1"/>
    </row>
    <row r="17" spans="6:11" x14ac:dyDescent="0.3">
      <c r="F17" s="1"/>
      <c r="G17" s="1"/>
      <c r="H17" s="1"/>
      <c r="I17" s="1"/>
      <c r="K17" s="1"/>
    </row>
    <row r="18" spans="6:11" x14ac:dyDescent="0.3">
      <c r="F18" s="13" t="s">
        <v>85</v>
      </c>
      <c r="G18" s="1"/>
      <c r="H18" s="13" t="s">
        <v>88</v>
      </c>
      <c r="I18" s="1"/>
      <c r="K18" s="1"/>
    </row>
    <row r="19" spans="6:11" x14ac:dyDescent="0.3">
      <c r="F19" s="1" t="s">
        <v>86</v>
      </c>
      <c r="G19" s="1"/>
      <c r="H19" s="1" t="s">
        <v>87</v>
      </c>
      <c r="I19" s="1"/>
      <c r="K19" s="1"/>
    </row>
  </sheetData>
  <mergeCells count="2">
    <mergeCell ref="A1:I1"/>
    <mergeCell ref="A2:I2"/>
  </mergeCells>
  <pageMargins left="0.19685039370078741" right="0.19685039370078741" top="0.39370078740157483" bottom="0.19685039370078741" header="0.31496062992125984" footer="0.31496062992125984"/>
  <pageSetup paperSize="1000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4C36B-CBC5-42B0-8B64-37EDE39DB9E2}">
  <dimension ref="A2:H30"/>
  <sheetViews>
    <sheetView workbookViewId="0">
      <selection activeCell="H28" sqref="H28"/>
    </sheetView>
  </sheetViews>
  <sheetFormatPr defaultRowHeight="14" x14ac:dyDescent="0.35"/>
  <cols>
    <col min="1" max="1" width="5.26953125" style="1" customWidth="1"/>
    <col min="2" max="2" width="16.08984375" style="1" customWidth="1"/>
    <col min="3" max="8" width="12.36328125" style="1" customWidth="1"/>
    <col min="9" max="16384" width="8.7265625" style="1"/>
  </cols>
  <sheetData>
    <row r="2" spans="1:8" ht="14.5" customHeight="1" x14ac:dyDescent="0.35">
      <c r="A2" s="41" t="s">
        <v>82</v>
      </c>
      <c r="B2" s="41"/>
      <c r="C2" s="41"/>
      <c r="D2" s="41"/>
      <c r="E2" s="41"/>
      <c r="F2" s="41"/>
      <c r="G2" s="41"/>
      <c r="H2" s="41"/>
    </row>
    <row r="3" spans="1:8" ht="14.5" customHeight="1" x14ac:dyDescent="0.35">
      <c r="A3" s="41" t="s">
        <v>83</v>
      </c>
      <c r="B3" s="41"/>
      <c r="C3" s="41"/>
      <c r="D3" s="41"/>
      <c r="E3" s="41"/>
      <c r="F3" s="41"/>
      <c r="G3" s="41"/>
      <c r="H3" s="41"/>
    </row>
    <row r="4" spans="1:8" ht="14.5" customHeight="1" x14ac:dyDescent="0.35">
      <c r="A4" s="31"/>
      <c r="B4" s="31"/>
      <c r="C4" s="31"/>
      <c r="D4" s="31"/>
      <c r="E4" s="31"/>
      <c r="F4" s="31"/>
      <c r="G4" s="31"/>
      <c r="H4" s="31"/>
    </row>
    <row r="6" spans="1:8" ht="18" customHeight="1" x14ac:dyDescent="0.35">
      <c r="A6" s="47" t="s">
        <v>58</v>
      </c>
      <c r="B6" s="48" t="s">
        <v>59</v>
      </c>
      <c r="C6" s="48" t="s">
        <v>25</v>
      </c>
      <c r="D6" s="48"/>
      <c r="E6" s="48"/>
      <c r="F6" s="48"/>
      <c r="G6" s="48"/>
      <c r="H6" s="48"/>
    </row>
    <row r="7" spans="1:8" ht="18" customHeight="1" x14ac:dyDescent="0.35">
      <c r="A7" s="47"/>
      <c r="B7" s="48"/>
      <c r="C7" s="20" t="s">
        <v>3</v>
      </c>
      <c r="D7" s="20" t="s">
        <v>4</v>
      </c>
      <c r="E7" s="20" t="s">
        <v>5</v>
      </c>
      <c r="F7" s="20" t="s">
        <v>6</v>
      </c>
      <c r="G7" s="20" t="s">
        <v>7</v>
      </c>
      <c r="H7" s="20" t="s">
        <v>8</v>
      </c>
    </row>
    <row r="8" spans="1:8" ht="18" customHeight="1" x14ac:dyDescent="0.35">
      <c r="A8" s="8">
        <v>0</v>
      </c>
      <c r="B8" s="8" t="s">
        <v>65</v>
      </c>
      <c r="C8" s="21" t="s">
        <v>60</v>
      </c>
      <c r="D8" s="49" t="s">
        <v>61</v>
      </c>
      <c r="E8" s="50"/>
      <c r="F8" s="51"/>
      <c r="G8" s="22" t="s">
        <v>62</v>
      </c>
      <c r="H8" s="22" t="s">
        <v>62</v>
      </c>
    </row>
    <row r="9" spans="1:8" ht="18" customHeight="1" x14ac:dyDescent="0.35">
      <c r="A9" s="8">
        <v>1</v>
      </c>
      <c r="B9" s="8" t="s">
        <v>66</v>
      </c>
      <c r="C9" s="21" t="s">
        <v>60</v>
      </c>
      <c r="D9" s="26" t="s">
        <v>77</v>
      </c>
      <c r="E9" s="27" t="s">
        <v>78</v>
      </c>
      <c r="F9" s="28" t="s">
        <v>76</v>
      </c>
      <c r="G9" s="23"/>
      <c r="H9" s="29" t="s">
        <v>80</v>
      </c>
    </row>
    <row r="10" spans="1:8" ht="18" customHeight="1" x14ac:dyDescent="0.35">
      <c r="A10" s="8">
        <v>2</v>
      </c>
      <c r="B10" s="8" t="s">
        <v>67</v>
      </c>
      <c r="C10" s="25" t="s">
        <v>75</v>
      </c>
      <c r="D10" s="26" t="s">
        <v>77</v>
      </c>
      <c r="E10" s="27" t="s">
        <v>78</v>
      </c>
      <c r="F10" s="28" t="s">
        <v>76</v>
      </c>
      <c r="G10" s="23"/>
      <c r="H10" s="29" t="s">
        <v>80</v>
      </c>
    </row>
    <row r="11" spans="1:8" ht="18" customHeight="1" x14ac:dyDescent="0.35">
      <c r="A11" s="8">
        <v>3</v>
      </c>
      <c r="B11" s="8" t="s">
        <v>68</v>
      </c>
      <c r="C11" s="25" t="s">
        <v>75</v>
      </c>
      <c r="D11" s="26" t="s">
        <v>77</v>
      </c>
      <c r="E11" s="27" t="s">
        <v>78</v>
      </c>
      <c r="F11" s="28" t="s">
        <v>76</v>
      </c>
      <c r="G11" s="23"/>
      <c r="H11" s="29" t="s">
        <v>80</v>
      </c>
    </row>
    <row r="12" spans="1:8" ht="18" customHeight="1" x14ac:dyDescent="0.35">
      <c r="A12" s="8">
        <v>4</v>
      </c>
      <c r="B12" s="8" t="s">
        <v>69</v>
      </c>
      <c r="C12" s="25" t="s">
        <v>75</v>
      </c>
      <c r="D12" s="26" t="s">
        <v>77</v>
      </c>
      <c r="E12" s="27" t="s">
        <v>78</v>
      </c>
      <c r="F12" s="28" t="s">
        <v>76</v>
      </c>
      <c r="G12" s="23"/>
      <c r="H12" s="29" t="s">
        <v>80</v>
      </c>
    </row>
    <row r="13" spans="1:8" ht="18" customHeight="1" x14ac:dyDescent="0.35">
      <c r="A13" s="24"/>
      <c r="B13" s="24" t="s">
        <v>70</v>
      </c>
      <c r="C13" s="52" t="s">
        <v>63</v>
      </c>
      <c r="D13" s="53"/>
      <c r="E13" s="53"/>
      <c r="F13" s="53"/>
      <c r="G13" s="53"/>
      <c r="H13" s="54"/>
    </row>
    <row r="14" spans="1:8" ht="18" customHeight="1" x14ac:dyDescent="0.35">
      <c r="A14" s="8">
        <v>5</v>
      </c>
      <c r="B14" s="8" t="s">
        <v>71</v>
      </c>
      <c r="C14" s="25" t="s">
        <v>75</v>
      </c>
      <c r="D14" s="23"/>
      <c r="E14" s="23"/>
      <c r="F14" s="30" t="s">
        <v>79</v>
      </c>
      <c r="G14" s="23"/>
      <c r="H14" s="23"/>
    </row>
    <row r="15" spans="1:8" ht="18" customHeight="1" x14ac:dyDescent="0.35">
      <c r="A15" s="8">
        <v>6</v>
      </c>
      <c r="B15" s="8" t="s">
        <v>72</v>
      </c>
      <c r="C15" s="23"/>
      <c r="D15" s="23"/>
      <c r="E15" s="23"/>
      <c r="F15" s="30" t="s">
        <v>79</v>
      </c>
      <c r="G15" s="23"/>
      <c r="H15" s="23"/>
    </row>
    <row r="16" spans="1:8" ht="18" customHeight="1" x14ac:dyDescent="0.35">
      <c r="A16" s="8">
        <v>7</v>
      </c>
      <c r="B16" s="8" t="s">
        <v>73</v>
      </c>
      <c r="C16" s="23"/>
      <c r="D16" s="23"/>
      <c r="E16" s="23"/>
      <c r="F16" s="30" t="s">
        <v>79</v>
      </c>
      <c r="G16" s="23"/>
      <c r="H16" s="23"/>
    </row>
    <row r="17" spans="1:8" ht="18" customHeight="1" x14ac:dyDescent="0.35">
      <c r="A17" s="8">
        <v>8</v>
      </c>
      <c r="B17" s="8" t="s">
        <v>74</v>
      </c>
      <c r="C17" s="23"/>
      <c r="D17" s="23"/>
      <c r="E17" s="23"/>
      <c r="F17" s="30" t="s">
        <v>79</v>
      </c>
      <c r="G17" s="23"/>
      <c r="H17" s="23"/>
    </row>
    <row r="18" spans="1:8" ht="18" customHeight="1" x14ac:dyDescent="0.35">
      <c r="A18" s="8">
        <v>9</v>
      </c>
      <c r="B18" s="8" t="s">
        <v>81</v>
      </c>
      <c r="C18" s="45" t="s">
        <v>64</v>
      </c>
      <c r="D18" s="46"/>
      <c r="E18" s="46"/>
      <c r="F18" s="46"/>
      <c r="G18" s="23"/>
      <c r="H18" s="23"/>
    </row>
    <row r="23" spans="1:8" x14ac:dyDescent="0.35">
      <c r="F23" s="2" t="s">
        <v>89</v>
      </c>
    </row>
    <row r="24" spans="1:8" x14ac:dyDescent="0.35">
      <c r="C24" s="2" t="s">
        <v>37</v>
      </c>
      <c r="G24" s="2"/>
    </row>
    <row r="25" spans="1:8" x14ac:dyDescent="0.35">
      <c r="C25" s="2" t="s">
        <v>84</v>
      </c>
      <c r="F25" s="2" t="s">
        <v>38</v>
      </c>
    </row>
    <row r="29" spans="1:8" x14ac:dyDescent="0.35">
      <c r="C29" s="13" t="s">
        <v>85</v>
      </c>
      <c r="F29" s="13" t="s">
        <v>88</v>
      </c>
    </row>
    <row r="30" spans="1:8" x14ac:dyDescent="0.35">
      <c r="C30" s="1" t="s">
        <v>86</v>
      </c>
      <c r="F30" s="1" t="s">
        <v>87</v>
      </c>
    </row>
  </sheetData>
  <mergeCells count="8">
    <mergeCell ref="A2:H2"/>
    <mergeCell ref="A3:H3"/>
    <mergeCell ref="C18:F18"/>
    <mergeCell ref="A6:A7"/>
    <mergeCell ref="B6:B7"/>
    <mergeCell ref="C6:H6"/>
    <mergeCell ref="D8:F8"/>
    <mergeCell ref="C13:H13"/>
  </mergeCells>
  <phoneticPr fontId="3" type="noConversion"/>
  <pageMargins left="0.59055118110236227" right="0.19685039370078741" top="1.1811023622047245" bottom="0.19685039370078741" header="0.31496062992125984" footer="0.31496062992125984"/>
  <pageSetup paperSize="1000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Hari Belajar Efektif</vt:lpstr>
      <vt:lpstr>JURNAL Harian</vt:lpstr>
      <vt:lpstr>Jadwal Pelajaran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ALFARISI</dc:creator>
  <cp:lastModifiedBy>ALFARISI 17</cp:lastModifiedBy>
  <cp:lastPrinted>2026-07-20T17:07:10Z</cp:lastPrinted>
  <dcterms:created xsi:type="dcterms:W3CDTF">2015-06-05T18:17:20Z</dcterms:created>
  <dcterms:modified xsi:type="dcterms:W3CDTF">2026-08-15T15:08:55Z</dcterms:modified>
</cp:coreProperties>
</file>