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743fc08a60386/Documents/New folder/1. HBE PROTA PROMES TP RPP SMT1 26-27/"/>
    </mc:Choice>
  </mc:AlternateContent>
  <xr:revisionPtr revIDLastSave="23" documentId="13_ncr:1_{6C70F04C-7977-4B39-8804-B754555B0C2E}" xr6:coauthVersionLast="47" xr6:coauthVersionMax="47" xr10:uidLastSave="{B86D4739-6E25-4530-A992-C2A256C1FA43}"/>
  <bookViews>
    <workbookView xWindow="-110" yWindow="-110" windowWidth="19420" windowHeight="10300" xr2:uid="{68265785-99A4-4366-82E3-2F9B78BFDDB0}"/>
  </bookViews>
  <sheets>
    <sheet name="KELAS 6" sheetId="6" r:id="rId1"/>
    <sheet name="KELAS 5" sheetId="7" r:id="rId2"/>
    <sheet name="KELAS 4" sheetId="8" r:id="rId3"/>
    <sheet name="KELAS 3" sheetId="12" r:id="rId4"/>
    <sheet name="KELAS 2" sheetId="11" r:id="rId5"/>
    <sheet name="KELAS 1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2" l="1"/>
  <c r="D14" i="12"/>
  <c r="E14" i="11"/>
  <c r="D14" i="11"/>
  <c r="E14" i="10"/>
  <c r="D14" i="10"/>
  <c r="E14" i="8"/>
  <c r="D14" i="8"/>
  <c r="E14" i="7"/>
  <c r="D14" i="7"/>
  <c r="E14" i="6" l="1"/>
  <c r="D14" i="6"/>
</calcChain>
</file>

<file path=xl/sharedStrings.xml><?xml version="1.0" encoding="utf-8"?>
<sst xmlns="http://schemas.openxmlformats.org/spreadsheetml/2006/main" count="531" uniqueCount="138">
  <si>
    <t>BAB</t>
  </si>
  <si>
    <t>TUJUAN PEMBELAJARAN</t>
  </si>
  <si>
    <t>JP</t>
  </si>
  <si>
    <t>PTM</t>
  </si>
  <si>
    <t>JUMLAH</t>
  </si>
  <si>
    <t>Pelaksanaan pada Bulan … dan Minggu ke …</t>
  </si>
  <si>
    <t>KETERANGAN/JUMLAH/TANGGAL:</t>
  </si>
  <si>
    <t>V</t>
  </si>
  <si>
    <t>2</t>
  </si>
  <si>
    <t>9</t>
  </si>
  <si>
    <t>16</t>
  </si>
  <si>
    <t>23</t>
  </si>
  <si>
    <t>30</t>
  </si>
  <si>
    <t>6</t>
  </si>
  <si>
    <t>13</t>
  </si>
  <si>
    <t>20</t>
  </si>
  <si>
    <t>27</t>
  </si>
  <si>
    <t>3</t>
  </si>
  <si>
    <t>10</t>
  </si>
  <si>
    <t>17</t>
  </si>
  <si>
    <t>24</t>
  </si>
  <si>
    <t>1</t>
  </si>
  <si>
    <t>8</t>
  </si>
  <si>
    <t>15</t>
  </si>
  <si>
    <t>22</t>
  </si>
  <si>
    <t>29</t>
  </si>
  <si>
    <t>5</t>
  </si>
  <si>
    <t>12</t>
  </si>
  <si>
    <t>19</t>
  </si>
  <si>
    <t>26</t>
  </si>
  <si>
    <t>PROGRAM SEMESTER</t>
  </si>
  <si>
    <t>SATUAN PENDIDIKAN</t>
  </si>
  <si>
    <t>SEMESTER/TAHUN PELAJARAN</t>
  </si>
  <si>
    <t>FASE/KELAS</t>
  </si>
  <si>
    <t>MAPEL</t>
  </si>
  <si>
    <t>: A / 1</t>
  </si>
  <si>
    <t>: PAIBP</t>
  </si>
  <si>
    <t>Keterangan:</t>
  </si>
  <si>
    <t>Hari Efektif Pembelajaran (Pertemuan Tatap Muka)</t>
  </si>
  <si>
    <t>Guru PAIBP</t>
  </si>
  <si>
    <t>Mengetahui,</t>
  </si>
  <si>
    <t>: A / 2</t>
  </si>
  <si>
    <t>4</t>
  </si>
  <si>
    <t>11</t>
  </si>
  <si>
    <t>18</t>
  </si>
  <si>
    <t>25</t>
  </si>
  <si>
    <t>31</t>
  </si>
  <si>
    <t>7</t>
  </si>
  <si>
    <t>14</t>
  </si>
  <si>
    <t>21</t>
  </si>
  <si>
    <t>28</t>
  </si>
  <si>
    <t>: B / 3</t>
  </si>
  <si>
    <t>: B / 4</t>
  </si>
  <si>
    <t>: C / 5</t>
  </si>
  <si>
    <t>: C / 6</t>
  </si>
  <si>
    <t>6.1</t>
  </si>
  <si>
    <t>6.2</t>
  </si>
  <si>
    <t>6.3</t>
  </si>
  <si>
    <t>6.4</t>
  </si>
  <si>
    <t>6.5</t>
  </si>
  <si>
    <t>JULI</t>
  </si>
  <si>
    <t>AGUSTUS</t>
  </si>
  <si>
    <t>SEPTEMBER</t>
  </si>
  <si>
    <t>OKTOBER</t>
  </si>
  <si>
    <t>NOVEMBER</t>
  </si>
  <si>
    <t>DESEMBER</t>
  </si>
  <si>
    <t>5.1</t>
  </si>
  <si>
    <t>5.2</t>
  </si>
  <si>
    <t>5.3</t>
  </si>
  <si>
    <t>5.4</t>
  </si>
  <si>
    <t>5.5</t>
  </si>
  <si>
    <t>4.1</t>
  </si>
  <si>
    <t>4.2</t>
  </si>
  <si>
    <t>4.3</t>
  </si>
  <si>
    <t>4.4</t>
  </si>
  <si>
    <t>4.5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</si>
  <si>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</si>
  <si>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</si>
  <si>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</si>
  <si>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</si>
  <si>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</si>
  <si>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</si>
  <si>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</si>
  <si>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</si>
  <si>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</si>
  <si>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2.5</t>
  </si>
  <si>
    <t>HARI</t>
  </si>
  <si>
    <t>: KAMIS</t>
  </si>
  <si>
    <t>Peringatan Kemerdekaan (PHBN), PHBI, Libur Semester Ganjil</t>
  </si>
  <si>
    <t>MPLS, STS</t>
  </si>
  <si>
    <t>SAS, Cadangan</t>
  </si>
  <si>
    <t>: RABU</t>
  </si>
  <si>
    <t>: SELASA</t>
  </si>
  <si>
    <t>: SENIN</t>
  </si>
  <si>
    <t>: SABTU</t>
  </si>
  <si>
    <t>: I / 2026-2027</t>
  </si>
  <si>
    <t>3.1</t>
  </si>
  <si>
    <t>3.2</t>
  </si>
  <si>
    <t>3.3</t>
  </si>
  <si>
    <t>3.4</t>
  </si>
  <si>
    <t>3.5</t>
  </si>
  <si>
    <t>Peserta didik mampu mengintegrasikan penguasaan membaca huruf hijaiyyah bersambung, penerapan bacaan ghunnah, dan bacaan Surah Al-Insyirah untuk membaca Al-Qur'an dengan benar dalam kehidupan sehari-hari.</t>
  </si>
  <si>
    <t>Peserta didik mampu mengintegrasikan pemahaman tentang makna Asmaul Husna Al-Waliyy, Al-Ḥamīd, Al-'Adl, dan Aṣ-Ṣabūr ke dalam perilaku sehari-hari dengan benar.</t>
  </si>
  <si>
    <t>Peserta didik mampu mengintegrasikan nilai-nilai akhlak terhadap tetangga dan non-Muslim ke dalam perilaku sehari-hari dengan benar.</t>
  </si>
  <si>
    <t>Peserta didik mampu mengintegrasikan pemahaman tentang zakat, infak, dan sedekah ke dalam perilaku sehari-hari dengan benar.</t>
  </si>
  <si>
    <t>Peserta didik mampu mengintegrasikan nilai-nilai keteladanan Abu Bakar As-Shiddiq dan Umar bin Khattab dalam kehidupan sehari-hari dengan benar.</t>
  </si>
  <si>
    <t>Peserta didik mampu mengintegrasikan penguasaan membaca huruf hijaiyyah bersambung, penerapan hukum bacaan Mim Sukun, dan bacaan Surah Al-'Ashr untuk membaca Al-Qur'an dengan benar dalam kehidupan sehari-hari.</t>
  </si>
  <si>
    <t>Peserta didik mampu mengintegrasikan pemahaman tentang makna Asmaul Husna Al-Halīm, Asy-Syakūr, Al-Ḥakīm, dan Al-Wadūd ke dalam perilaku sehari-hari dengan benar.</t>
  </si>
  <si>
    <t>Peserta didik mampu mengintegrasikan pemahaman tentang berdoa dan bertawakal kepada Allah Swt. ke dalam perilaku sehari-hari dengan benar.</t>
  </si>
  <si>
    <t>Peserta didik mampu mengintegrasikan pemahaman tentang puasa wajib dan puasa sunnah ke dalam pembiasaan beribadah dan perilaku sehari-hari dengan benar.</t>
  </si>
  <si>
    <t>Peserta didik mampu mengintegrasikan nilai-nilai kepemimpinan Nabi Muhammad saw. di Madinah ke dalam perilaku sehari-hari dengan benar.</t>
  </si>
  <si>
    <t>Peserta didik mampu mengintegrasikan penguasaan membaca huruf hijaiyyah bersambung, penerapan hukum bacaan Idgham Bighunnah dan Bilaghunnah, serta bacaan Surah An-Nashr untuk membaca Al-Qur'an dengan benar dalam kehidupan sehari-hari.</t>
  </si>
  <si>
    <t>Peserta didik mampu mengintegrasikan pemahaman tentang makna Asmaul Husna Al-Ghaffār, Al-Wahhāb, Al-Fattāḥ, dan Al-Laṭīf ke dalam perilaku sehari-hari dengan benar.</t>
  </si>
  <si>
    <t>Peserta didik mampu mengintegrasikan nilai-nilai akhlak terhadap keluarga ke dalam perilaku sehari-hari dengan benar.</t>
  </si>
  <si>
    <t>Peserta didik mampu mengintegrasikan pemahaman tentang shalat sunnah Rawatib, Dhuha, dan Tahajud ke dalam pembiasaan beribadah dan perilaku sehari-hari dengan benar.</t>
  </si>
  <si>
    <t>Peserta didik mampu mengintegrasikan nilai-nilai keteladanan dari kerasulan dan dakwah Nabi Muhammad saw. pada periode Makkah ke dalam perilaku sehari-hari dengan benar.</t>
  </si>
  <si>
    <t>Peserta didik mampu mengintegrasikan penguasaan membaca huruf hijaiyyah bersambung, penerapan hukum bacaan mad thabi’i, dan bacaan Surah Al-Kautsar untuk membaca Al-Qur'an dengan benar dalam kehidupan sehari-hari.</t>
  </si>
  <si>
    <t>Peserta didik mampu mengintegrasikan pemahaman tentang sifat-sifat Allah Swt. ke dalam perilaku sehari-hari dengan benar.</t>
  </si>
  <si>
    <t>Peserta didik mampu mengintegrasikan pemahaman tentang akhlak berbaik sangka kepada Allah Swt. ke dalam perilaku sehari-hari dengan benar.</t>
  </si>
  <si>
    <t>Peserta didik mampu mengintegrasikan pemahaman tentang adzan dan iqamah ke dalam pelaksanaan ibadah dan perilaku sehari-hari dengan benar.</t>
  </si>
  <si>
    <t>Peserta didik mampu mengintegrasikan nilai-nilai keteladanan dari peristiwa kelahiran dan masa kanak-kanak Nabi Muhammad saw. ke dalam perilaku sehari-hari dengan benar.</t>
  </si>
  <si>
    <t>Peserta didik mampu mengintegrasikan penguasaan membaca huruf hijaiyyah bersambung, bacaan Surah An-Naas dan Surah Al-Falaq untuk membaca Al-Qur’an dengan benar dalam kehidupan sehari-hari.</t>
  </si>
  <si>
    <t>Peserta didik mampu mengintegrasikan pemahaman tentang makna Asmaul Husna Ar-Rahman, Ar-Rahim, As-Salam, dan Al-Mukmin ke dalam perilaku sehari-hari dengan benar.</t>
  </si>
  <si>
    <t>Peserta didik mampu mengintegrasikan pemahaman tentang pola hidup bersih dan sehat ke dalam perilaku sehari-hari dengan benar.</t>
  </si>
  <si>
    <t>Peserta didik mampu mengintegrasikan pemahaman tentang shalat fardu ke dalam pelaksanaan ibadah dan perilaku sehari-hari dengan benar.</t>
  </si>
  <si>
    <t>Peserta didik mampu mengintegrasikan nilai-nilai keteladanan Nabi Nuh a.s ke dalam perilaku sehari-hari dengan benar.</t>
  </si>
  <si>
    <t>Peserta didik mampu mengintegrasikan pemahaman tentang makharijul huruf dan huruf hijaiyyah berharakat untuk membaca huruf dan kata dalam Al-Qur'an dengan benar dalam kehidupan sehari-hari.</t>
  </si>
  <si>
    <t>Peserta didik mampu mengintegrasikan pemahaman tentang rukun iman ke dalam perilaku sehari-hari dengan benar.</t>
  </si>
  <si>
    <t>Peserta didik mampu mengintegrasikan pemahaman tentang akhlak terhadap Allah Swt. melalui sikap menyucikan-Nya (tasbih) ke dalam perilaku sehari-hari dengan benar.</t>
  </si>
  <si>
    <t>Peserta didik mampu mengintegrasikan pemahaman tentang rukun Islam dan syahadatain sebagai landasan dalam beribadah dan berperilaku dalam kehidupan sehari-hari dengan benar.</t>
  </si>
  <si>
    <t>Peserta didik mampu mengintegrasikan nilai-nilai keteladanan Nabi Adam a.s. ke dalam perilaku sehari-hari dengan benar.</t>
  </si>
  <si>
    <t>: &lt;Nama Sekolah&gt;</t>
  </si>
  <si>
    <t>&lt;Desa&gt;, 13 Juli 2026</t>
  </si>
  <si>
    <t>Kepala &lt;Nama Sekolah&gt;</t>
  </si>
  <si>
    <t>&lt;Nama KS&gt;</t>
  </si>
  <si>
    <t>NIP. &lt;NIP KS&gt;</t>
  </si>
  <si>
    <t>&lt;Nama Guru&gt;</t>
  </si>
  <si>
    <t>NIP. &lt;NIP Guru&gt;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</si>
</sst>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1018-96BE-492B-A091-81F1BC50A20B}">
  <dimension ref="A1:AI30"/>
  <sheetViews>
    <sheetView tabSelected="1" zoomScaleNormal="100" workbookViewId="0">
      <selection activeCell="D3" sqref="D3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x14ac:dyDescent="0.35">
      <c r="AC2" s="19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54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87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45" customHeight="1" x14ac:dyDescent="0.35">
      <c r="A9" s="6">
        <v>1</v>
      </c>
      <c r="B9" s="6" t="s">
        <v>55</v>
      </c>
      <c r="C9" s="21" t="s">
        <v>101</v>
      </c>
      <c r="D9" s="6">
        <v>16</v>
      </c>
      <c r="E9" s="6">
        <v>4</v>
      </c>
      <c r="F9" s="8"/>
      <c r="G9" s="8"/>
      <c r="H9" s="7" t="s">
        <v>7</v>
      </c>
      <c r="I9" s="7" t="s">
        <v>7</v>
      </c>
      <c r="J9" s="7" t="s">
        <v>7</v>
      </c>
      <c r="K9" s="7" t="s">
        <v>7</v>
      </c>
      <c r="L9" s="20"/>
      <c r="M9" s="20"/>
      <c r="N9" s="20"/>
      <c r="O9" s="8"/>
      <c r="P9" s="7"/>
      <c r="Q9" s="9"/>
      <c r="R9" s="7"/>
      <c r="S9" s="7"/>
      <c r="T9" s="8"/>
      <c r="U9" s="7"/>
      <c r="V9" s="7"/>
      <c r="W9" s="7"/>
      <c r="X9" s="7"/>
      <c r="Y9" s="7"/>
      <c r="Z9" s="7"/>
      <c r="AA9" s="7"/>
      <c r="AB9" s="7"/>
      <c r="AC9" s="7"/>
      <c r="AD9" s="8"/>
      <c r="AE9" s="16"/>
      <c r="AF9" s="16"/>
      <c r="AG9" s="16"/>
      <c r="AH9" s="20"/>
      <c r="AI9" s="20"/>
    </row>
    <row r="10" spans="1:35" ht="45" customHeight="1" x14ac:dyDescent="0.35">
      <c r="A10" s="6">
        <v>2</v>
      </c>
      <c r="B10" s="6" t="s">
        <v>56</v>
      </c>
      <c r="C10" s="21" t="s">
        <v>102</v>
      </c>
      <c r="D10" s="6">
        <v>12</v>
      </c>
      <c r="E10" s="6">
        <v>3</v>
      </c>
      <c r="F10" s="8"/>
      <c r="G10" s="8"/>
      <c r="H10" s="7"/>
      <c r="I10" s="7"/>
      <c r="J10" s="7"/>
      <c r="K10" s="7"/>
      <c r="L10" s="20"/>
      <c r="M10" s="20"/>
      <c r="N10" s="20"/>
      <c r="O10" s="8"/>
      <c r="P10" s="7" t="s">
        <v>7</v>
      </c>
      <c r="Q10" s="9"/>
      <c r="R10" s="7" t="s">
        <v>7</v>
      </c>
      <c r="S10" s="7" t="s">
        <v>7</v>
      </c>
      <c r="T10" s="8"/>
      <c r="U10" s="7"/>
      <c r="V10" s="7"/>
      <c r="W10" s="7"/>
      <c r="X10" s="7"/>
      <c r="Y10" s="7"/>
      <c r="Z10" s="7"/>
      <c r="AA10" s="7"/>
      <c r="AB10" s="7"/>
      <c r="AC10" s="7"/>
      <c r="AD10" s="8"/>
      <c r="AE10" s="16"/>
      <c r="AF10" s="16"/>
      <c r="AG10" s="16"/>
      <c r="AH10" s="20"/>
      <c r="AI10" s="20"/>
    </row>
    <row r="11" spans="1:35" ht="40" customHeight="1" x14ac:dyDescent="0.35">
      <c r="A11" s="6">
        <v>3</v>
      </c>
      <c r="B11" s="6" t="s">
        <v>57</v>
      </c>
      <c r="C11" s="21" t="s">
        <v>103</v>
      </c>
      <c r="D11" s="6">
        <v>8</v>
      </c>
      <c r="E11" s="6">
        <v>2</v>
      </c>
      <c r="F11" s="8"/>
      <c r="G11" s="8"/>
      <c r="H11" s="7"/>
      <c r="I11" s="7"/>
      <c r="J11" s="7"/>
      <c r="K11" s="7"/>
      <c r="L11" s="20"/>
      <c r="M11" s="20"/>
      <c r="N11" s="20"/>
      <c r="O11" s="8"/>
      <c r="P11" s="7"/>
      <c r="Q11" s="9"/>
      <c r="R11" s="7"/>
      <c r="S11" s="7"/>
      <c r="T11" s="8"/>
      <c r="U11" s="7" t="s">
        <v>7</v>
      </c>
      <c r="V11" s="7" t="s">
        <v>7</v>
      </c>
      <c r="W11" s="7"/>
      <c r="X11" s="7"/>
      <c r="Y11" s="7"/>
      <c r="Z11" s="7"/>
      <c r="AA11" s="7"/>
      <c r="AB11" s="7"/>
      <c r="AC11" s="7"/>
      <c r="AD11" s="8"/>
      <c r="AE11" s="16"/>
      <c r="AF11" s="16"/>
      <c r="AG11" s="16"/>
      <c r="AH11" s="20"/>
      <c r="AI11" s="20"/>
    </row>
    <row r="12" spans="1:35" ht="40" customHeight="1" x14ac:dyDescent="0.35">
      <c r="A12" s="6">
        <v>4</v>
      </c>
      <c r="B12" s="6" t="s">
        <v>58</v>
      </c>
      <c r="C12" s="21" t="s">
        <v>104</v>
      </c>
      <c r="D12" s="6">
        <v>16</v>
      </c>
      <c r="E12" s="6">
        <v>4</v>
      </c>
      <c r="F12" s="8"/>
      <c r="G12" s="8"/>
      <c r="H12" s="7"/>
      <c r="I12" s="7"/>
      <c r="J12" s="7"/>
      <c r="K12" s="7"/>
      <c r="L12" s="20"/>
      <c r="M12" s="20"/>
      <c r="N12" s="20"/>
      <c r="O12" s="8"/>
      <c r="P12" s="7"/>
      <c r="Q12" s="9"/>
      <c r="R12" s="7"/>
      <c r="S12" s="7"/>
      <c r="T12" s="8"/>
      <c r="U12" s="7"/>
      <c r="V12" s="7"/>
      <c r="W12" s="7" t="s">
        <v>7</v>
      </c>
      <c r="X12" s="7" t="s">
        <v>7</v>
      </c>
      <c r="Y12" s="7" t="s">
        <v>7</v>
      </c>
      <c r="Z12" s="7" t="s">
        <v>7</v>
      </c>
      <c r="AA12" s="7"/>
      <c r="AB12" s="7"/>
      <c r="AC12" s="7"/>
      <c r="AD12" s="8"/>
      <c r="AE12" s="16"/>
      <c r="AF12" s="16"/>
      <c r="AG12" s="16"/>
      <c r="AH12" s="20"/>
      <c r="AI12" s="20"/>
    </row>
    <row r="13" spans="1:35" ht="45" customHeight="1" x14ac:dyDescent="0.35">
      <c r="A13" s="6">
        <v>5</v>
      </c>
      <c r="B13" s="6" t="s">
        <v>59</v>
      </c>
      <c r="C13" s="21" t="s">
        <v>105</v>
      </c>
      <c r="D13" s="6">
        <v>12</v>
      </c>
      <c r="E13" s="6">
        <v>3</v>
      </c>
      <c r="F13" s="8"/>
      <c r="G13" s="8"/>
      <c r="H13" s="7"/>
      <c r="I13" s="7"/>
      <c r="J13" s="7"/>
      <c r="K13" s="7"/>
      <c r="L13" s="20"/>
      <c r="M13" s="20"/>
      <c r="N13" s="20"/>
      <c r="O13" s="8"/>
      <c r="P13" s="7"/>
      <c r="Q13" s="9"/>
      <c r="R13" s="7"/>
      <c r="S13" s="7"/>
      <c r="T13" s="8"/>
      <c r="U13" s="7"/>
      <c r="V13" s="7"/>
      <c r="W13" s="7"/>
      <c r="X13" s="7"/>
      <c r="Y13" s="7"/>
      <c r="Z13" s="7"/>
      <c r="AA13" s="7" t="s">
        <v>7</v>
      </c>
      <c r="AB13" s="7" t="s">
        <v>7</v>
      </c>
      <c r="AC13" s="7" t="s">
        <v>7</v>
      </c>
      <c r="AD13" s="8"/>
      <c r="AE13" s="16"/>
      <c r="AF13" s="16"/>
      <c r="AG13" s="16"/>
      <c r="AH13" s="20"/>
      <c r="AI13" s="20"/>
    </row>
    <row r="14" spans="1:35" x14ac:dyDescent="0.35">
      <c r="A14" s="22" t="s">
        <v>6</v>
      </c>
      <c r="B14" s="22"/>
      <c r="C14" s="22"/>
      <c r="D14" s="22" t="str">
        <f>SUM(D9:D13) &amp; " JP"</f>
        <v>64 JP</v>
      </c>
      <c r="E14" s="22" t="str">
        <f>SUM(E9:E13) &amp; " PTM"</f>
        <v>16 PTM</v>
      </c>
      <c r="F14" s="15"/>
      <c r="G14" s="15"/>
      <c r="H14" s="15" t="s">
        <v>10</v>
      </c>
      <c r="I14" s="15" t="s">
        <v>11</v>
      </c>
      <c r="J14" s="15" t="s">
        <v>12</v>
      </c>
      <c r="K14" s="15" t="s">
        <v>13</v>
      </c>
      <c r="L14" s="15" t="s">
        <v>14</v>
      </c>
      <c r="M14" s="15" t="s">
        <v>15</v>
      </c>
      <c r="N14" s="15" t="s">
        <v>16</v>
      </c>
      <c r="O14" s="15"/>
      <c r="P14" s="15" t="s">
        <v>17</v>
      </c>
      <c r="Q14" s="15" t="s">
        <v>18</v>
      </c>
      <c r="R14" s="15" t="s">
        <v>19</v>
      </c>
      <c r="S14" s="15" t="s">
        <v>20</v>
      </c>
      <c r="T14" s="15"/>
      <c r="U14" s="15" t="s">
        <v>21</v>
      </c>
      <c r="V14" s="15" t="s">
        <v>22</v>
      </c>
      <c r="W14" s="15" t="s">
        <v>23</v>
      </c>
      <c r="X14" s="15" t="s">
        <v>24</v>
      </c>
      <c r="Y14" s="15" t="s">
        <v>25</v>
      </c>
      <c r="Z14" s="15" t="s">
        <v>26</v>
      </c>
      <c r="AA14" s="15" t="s">
        <v>27</v>
      </c>
      <c r="AB14" s="15" t="s">
        <v>28</v>
      </c>
      <c r="AC14" s="15" t="s">
        <v>29</v>
      </c>
      <c r="AD14" s="15"/>
      <c r="AE14" s="15" t="s">
        <v>17</v>
      </c>
      <c r="AF14" s="15" t="s">
        <v>18</v>
      </c>
      <c r="AG14" s="15" t="s">
        <v>19</v>
      </c>
      <c r="AH14" s="15" t="s">
        <v>20</v>
      </c>
      <c r="AI14" s="15" t="s">
        <v>46</v>
      </c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3" spans="2:21" x14ac:dyDescent="0.35">
      <c r="U23" s="5" t="s">
        <v>132</v>
      </c>
    </row>
    <row r="24" spans="2:21" x14ac:dyDescent="0.35">
      <c r="F24" s="5" t="s">
        <v>40</v>
      </c>
      <c r="U24" s="5"/>
    </row>
    <row r="25" spans="2:21" x14ac:dyDescent="0.35">
      <c r="F25" s="5" t="s">
        <v>133</v>
      </c>
      <c r="U25" s="5" t="s">
        <v>39</v>
      </c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5"/>
      <c r="U28" s="5"/>
    </row>
    <row r="29" spans="2:21" x14ac:dyDescent="0.35">
      <c r="F29" s="14" t="s">
        <v>134</v>
      </c>
      <c r="U29" s="14" t="s">
        <v>136</v>
      </c>
    </row>
    <row r="30" spans="2:21" x14ac:dyDescent="0.35">
      <c r="F30" s="5" t="s">
        <v>135</v>
      </c>
      <c r="U30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9C88-7859-4A34-B546-368DFBE1EE29}">
  <dimension ref="A1:AI30"/>
  <sheetViews>
    <sheetView workbookViewId="0">
      <selection activeCell="I2" sqref="I2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53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91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44" customHeight="1" x14ac:dyDescent="0.35">
      <c r="A9" s="6">
        <v>1</v>
      </c>
      <c r="B9" s="6" t="s">
        <v>66</v>
      </c>
      <c r="C9" s="21" t="s">
        <v>106</v>
      </c>
      <c r="D9" s="6">
        <v>16</v>
      </c>
      <c r="E9" s="6">
        <v>4</v>
      </c>
      <c r="F9" s="8"/>
      <c r="G9" s="8"/>
      <c r="H9" s="9"/>
      <c r="I9" s="7" t="s">
        <v>7</v>
      </c>
      <c r="J9" s="7" t="s">
        <v>7</v>
      </c>
      <c r="K9" s="7" t="s">
        <v>7</v>
      </c>
      <c r="L9" s="20"/>
      <c r="M9" s="20"/>
      <c r="N9" s="20"/>
      <c r="O9" s="8"/>
      <c r="P9" s="7" t="s">
        <v>7</v>
      </c>
      <c r="Q9" s="9"/>
      <c r="R9" s="7"/>
      <c r="S9" s="7"/>
      <c r="T9" s="7"/>
      <c r="U9" s="8"/>
      <c r="V9" s="7"/>
      <c r="W9" s="7"/>
      <c r="X9" s="7"/>
      <c r="Y9" s="7"/>
      <c r="Z9" s="7"/>
      <c r="AA9" s="7"/>
      <c r="AB9" s="7"/>
      <c r="AC9" s="7"/>
      <c r="AD9" s="8"/>
      <c r="AE9" s="16"/>
      <c r="AF9" s="16"/>
      <c r="AG9" s="16"/>
      <c r="AH9" s="17"/>
      <c r="AI9" s="17"/>
    </row>
    <row r="10" spans="1:35" ht="45" customHeight="1" x14ac:dyDescent="0.35">
      <c r="A10" s="6">
        <v>2</v>
      </c>
      <c r="B10" s="6" t="s">
        <v>67</v>
      </c>
      <c r="C10" s="21" t="s">
        <v>107</v>
      </c>
      <c r="D10" s="6">
        <v>8</v>
      </c>
      <c r="E10" s="6">
        <v>2</v>
      </c>
      <c r="F10" s="8"/>
      <c r="G10" s="8"/>
      <c r="H10" s="9"/>
      <c r="I10" s="7"/>
      <c r="J10" s="7"/>
      <c r="K10" s="7"/>
      <c r="L10" s="20"/>
      <c r="M10" s="20"/>
      <c r="N10" s="20"/>
      <c r="O10" s="8"/>
      <c r="P10" s="7"/>
      <c r="Q10" s="9"/>
      <c r="R10" s="7" t="s">
        <v>7</v>
      </c>
      <c r="S10" s="7" t="s">
        <v>7</v>
      </c>
      <c r="T10" s="7"/>
      <c r="U10" s="8"/>
      <c r="V10" s="7"/>
      <c r="W10" s="7"/>
      <c r="X10" s="7"/>
      <c r="Y10" s="7"/>
      <c r="Z10" s="7"/>
      <c r="AA10" s="7"/>
      <c r="AB10" s="7"/>
      <c r="AC10" s="7"/>
      <c r="AD10" s="8"/>
      <c r="AE10" s="16"/>
      <c r="AF10" s="16"/>
      <c r="AG10" s="16"/>
      <c r="AH10" s="17"/>
      <c r="AI10" s="17"/>
    </row>
    <row r="11" spans="1:35" ht="45" customHeight="1" x14ac:dyDescent="0.35">
      <c r="A11" s="6">
        <v>3</v>
      </c>
      <c r="B11" s="6" t="s">
        <v>68</v>
      </c>
      <c r="C11" s="21" t="s">
        <v>108</v>
      </c>
      <c r="D11" s="6">
        <v>8</v>
      </c>
      <c r="E11" s="6">
        <v>2</v>
      </c>
      <c r="F11" s="8"/>
      <c r="G11" s="8"/>
      <c r="H11" s="9"/>
      <c r="I11" s="7"/>
      <c r="J11" s="7"/>
      <c r="K11" s="7"/>
      <c r="L11" s="20"/>
      <c r="M11" s="20"/>
      <c r="N11" s="20"/>
      <c r="O11" s="8"/>
      <c r="P11" s="7"/>
      <c r="Q11" s="9"/>
      <c r="R11" s="7"/>
      <c r="S11" s="7"/>
      <c r="T11" s="7" t="s">
        <v>7</v>
      </c>
      <c r="U11" s="8"/>
      <c r="V11" s="7" t="s">
        <v>7</v>
      </c>
      <c r="W11" s="7"/>
      <c r="X11" s="7"/>
      <c r="Y11" s="7"/>
      <c r="Z11" s="7"/>
      <c r="AA11" s="7"/>
      <c r="AB11" s="7"/>
      <c r="AC11" s="7"/>
      <c r="AD11" s="8"/>
      <c r="AE11" s="16"/>
      <c r="AF11" s="16"/>
      <c r="AG11" s="16"/>
      <c r="AH11" s="17"/>
      <c r="AI11" s="17"/>
    </row>
    <row r="12" spans="1:35" ht="40" customHeight="1" x14ac:dyDescent="0.35">
      <c r="A12" s="6">
        <v>4</v>
      </c>
      <c r="B12" s="6" t="s">
        <v>69</v>
      </c>
      <c r="C12" s="21" t="s">
        <v>109</v>
      </c>
      <c r="D12" s="6">
        <v>16</v>
      </c>
      <c r="E12" s="6">
        <v>4</v>
      </c>
      <c r="F12" s="8"/>
      <c r="G12" s="8"/>
      <c r="H12" s="9"/>
      <c r="I12" s="7"/>
      <c r="J12" s="7"/>
      <c r="K12" s="7"/>
      <c r="L12" s="20"/>
      <c r="M12" s="20"/>
      <c r="N12" s="20"/>
      <c r="O12" s="8"/>
      <c r="P12" s="7"/>
      <c r="Q12" s="9"/>
      <c r="R12" s="7"/>
      <c r="S12" s="7"/>
      <c r="T12" s="7"/>
      <c r="U12" s="8"/>
      <c r="V12" s="7"/>
      <c r="W12" s="7" t="s">
        <v>7</v>
      </c>
      <c r="X12" s="7" t="s">
        <v>7</v>
      </c>
      <c r="Y12" s="7" t="s">
        <v>7</v>
      </c>
      <c r="Z12" s="7" t="s">
        <v>7</v>
      </c>
      <c r="AA12" s="7"/>
      <c r="AB12" s="7"/>
      <c r="AC12" s="7"/>
      <c r="AD12" s="8"/>
      <c r="AE12" s="16"/>
      <c r="AF12" s="16"/>
      <c r="AG12" s="16"/>
      <c r="AH12" s="17"/>
      <c r="AI12" s="17"/>
    </row>
    <row r="13" spans="1:35" ht="44" customHeight="1" x14ac:dyDescent="0.35">
      <c r="A13" s="6">
        <v>5</v>
      </c>
      <c r="B13" s="6" t="s">
        <v>70</v>
      </c>
      <c r="C13" s="21" t="s">
        <v>110</v>
      </c>
      <c r="D13" s="6">
        <v>12</v>
      </c>
      <c r="E13" s="6">
        <v>3</v>
      </c>
      <c r="F13" s="8"/>
      <c r="G13" s="8"/>
      <c r="H13" s="9"/>
      <c r="I13" s="7"/>
      <c r="J13" s="7"/>
      <c r="K13" s="7"/>
      <c r="L13" s="20"/>
      <c r="M13" s="20"/>
      <c r="N13" s="20"/>
      <c r="O13" s="8"/>
      <c r="P13" s="7"/>
      <c r="Q13" s="9"/>
      <c r="R13" s="7"/>
      <c r="S13" s="7"/>
      <c r="T13" s="7"/>
      <c r="U13" s="8"/>
      <c r="V13" s="7"/>
      <c r="W13" s="7"/>
      <c r="X13" s="7"/>
      <c r="Y13" s="7"/>
      <c r="Z13" s="7"/>
      <c r="AA13" s="7" t="s">
        <v>7</v>
      </c>
      <c r="AB13" s="7" t="s">
        <v>7</v>
      </c>
      <c r="AC13" s="7" t="s">
        <v>7</v>
      </c>
      <c r="AD13" s="8"/>
      <c r="AE13" s="16"/>
      <c r="AF13" s="16"/>
      <c r="AG13" s="16"/>
      <c r="AH13" s="17"/>
      <c r="AI13" s="17"/>
    </row>
    <row r="14" spans="1:35" x14ac:dyDescent="0.35">
      <c r="A14" s="22" t="s">
        <v>6</v>
      </c>
      <c r="B14" s="22"/>
      <c r="C14" s="22"/>
      <c r="D14" s="22" t="str">
        <f>SUM(D9:D13) &amp; " JP"</f>
        <v>60 JP</v>
      </c>
      <c r="E14" s="22" t="str">
        <f>SUM(E9:E13) &amp; " PTM"</f>
        <v>15 PTM</v>
      </c>
      <c r="F14" s="15"/>
      <c r="G14" s="15"/>
      <c r="H14" s="15" t="s">
        <v>23</v>
      </c>
      <c r="I14" s="15" t="s">
        <v>24</v>
      </c>
      <c r="J14" s="15" t="s">
        <v>25</v>
      </c>
      <c r="K14" s="15" t="s">
        <v>26</v>
      </c>
      <c r="L14" s="15" t="s">
        <v>27</v>
      </c>
      <c r="M14" s="15" t="s">
        <v>28</v>
      </c>
      <c r="N14" s="15" t="s">
        <v>29</v>
      </c>
      <c r="O14" s="15"/>
      <c r="P14" s="15" t="s">
        <v>8</v>
      </c>
      <c r="Q14" s="15" t="s">
        <v>9</v>
      </c>
      <c r="R14" s="15" t="s">
        <v>10</v>
      </c>
      <c r="S14" s="15" t="s">
        <v>11</v>
      </c>
      <c r="T14" s="15" t="s">
        <v>12</v>
      </c>
      <c r="U14" s="15"/>
      <c r="V14" s="15" t="s">
        <v>47</v>
      </c>
      <c r="W14" s="15" t="s">
        <v>48</v>
      </c>
      <c r="X14" s="15" t="s">
        <v>49</v>
      </c>
      <c r="Y14" s="15" t="s">
        <v>50</v>
      </c>
      <c r="Z14" s="15" t="s">
        <v>42</v>
      </c>
      <c r="AA14" s="15" t="s">
        <v>43</v>
      </c>
      <c r="AB14" s="15" t="s">
        <v>44</v>
      </c>
      <c r="AC14" s="15" t="s">
        <v>45</v>
      </c>
      <c r="AD14" s="15"/>
      <c r="AE14" s="15" t="s">
        <v>8</v>
      </c>
      <c r="AF14" s="15" t="s">
        <v>9</v>
      </c>
      <c r="AG14" s="15" t="s">
        <v>10</v>
      </c>
      <c r="AH14" s="15" t="s">
        <v>11</v>
      </c>
      <c r="AI14" s="15" t="s">
        <v>12</v>
      </c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3" spans="2:21" x14ac:dyDescent="0.35">
      <c r="U23" s="5" t="s">
        <v>132</v>
      </c>
    </row>
    <row r="24" spans="2:21" x14ac:dyDescent="0.35">
      <c r="F24" s="5" t="s">
        <v>40</v>
      </c>
      <c r="U24" s="5"/>
    </row>
    <row r="25" spans="2:21" x14ac:dyDescent="0.35">
      <c r="F25" s="5" t="s">
        <v>133</v>
      </c>
      <c r="U25" s="5" t="s">
        <v>39</v>
      </c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5"/>
      <c r="U28" s="5"/>
    </row>
    <row r="29" spans="2:21" x14ac:dyDescent="0.35">
      <c r="F29" s="14" t="s">
        <v>134</v>
      </c>
      <c r="U29" s="14" t="s">
        <v>136</v>
      </c>
    </row>
    <row r="30" spans="2:21" x14ac:dyDescent="0.35">
      <c r="F30" s="5" t="s">
        <v>135</v>
      </c>
      <c r="U30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1E9A-7ECC-4536-8964-3C42BAADE23F}">
  <dimension ref="A1:AI30"/>
  <sheetViews>
    <sheetView workbookViewId="0">
      <selection activeCell="H2" sqref="H2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52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92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50" customHeight="1" x14ac:dyDescent="0.35">
      <c r="A9" s="6">
        <v>1</v>
      </c>
      <c r="B9" s="6" t="s">
        <v>71</v>
      </c>
      <c r="C9" s="21" t="s">
        <v>111</v>
      </c>
      <c r="D9" s="6">
        <v>16</v>
      </c>
      <c r="E9" s="6">
        <v>4</v>
      </c>
      <c r="F9" s="8"/>
      <c r="G9" s="8"/>
      <c r="H9" s="9"/>
      <c r="I9" s="7" t="s">
        <v>7</v>
      </c>
      <c r="J9" s="7" t="s">
        <v>7</v>
      </c>
      <c r="K9" s="7" t="s">
        <v>7</v>
      </c>
      <c r="L9" s="20"/>
      <c r="M9" s="20"/>
      <c r="N9" s="20"/>
      <c r="O9" s="8"/>
      <c r="P9" s="7" t="s">
        <v>7</v>
      </c>
      <c r="Q9" s="9"/>
      <c r="R9" s="7"/>
      <c r="S9" s="7"/>
      <c r="T9" s="7"/>
      <c r="U9" s="8"/>
      <c r="V9" s="7"/>
      <c r="W9" s="7"/>
      <c r="X9" s="7"/>
      <c r="Y9" s="7"/>
      <c r="Z9" s="7"/>
      <c r="AA9" s="7"/>
      <c r="AB9" s="7"/>
      <c r="AC9" s="7"/>
      <c r="AD9" s="8"/>
      <c r="AE9" s="16"/>
      <c r="AF9" s="16"/>
      <c r="AG9" s="16"/>
      <c r="AH9" s="17"/>
      <c r="AI9" s="17"/>
    </row>
    <row r="10" spans="1:35" ht="45" customHeight="1" x14ac:dyDescent="0.35">
      <c r="A10" s="6">
        <v>2</v>
      </c>
      <c r="B10" s="6" t="s">
        <v>72</v>
      </c>
      <c r="C10" s="21" t="s">
        <v>112</v>
      </c>
      <c r="D10" s="6">
        <v>8</v>
      </c>
      <c r="E10" s="6">
        <v>2</v>
      </c>
      <c r="F10" s="8"/>
      <c r="G10" s="8"/>
      <c r="H10" s="9"/>
      <c r="I10" s="7"/>
      <c r="J10" s="7"/>
      <c r="K10" s="7"/>
      <c r="L10" s="20"/>
      <c r="M10" s="20"/>
      <c r="N10" s="20"/>
      <c r="O10" s="8"/>
      <c r="P10" s="7"/>
      <c r="Q10" s="9"/>
      <c r="R10" s="7" t="s">
        <v>7</v>
      </c>
      <c r="S10" s="7" t="s">
        <v>7</v>
      </c>
      <c r="T10" s="7"/>
      <c r="U10" s="8"/>
      <c r="V10" s="7"/>
      <c r="W10" s="7"/>
      <c r="X10" s="7"/>
      <c r="Y10" s="7"/>
      <c r="Z10" s="7"/>
      <c r="AA10" s="7"/>
      <c r="AB10" s="7"/>
      <c r="AC10" s="7"/>
      <c r="AD10" s="8"/>
      <c r="AE10" s="16"/>
      <c r="AF10" s="16"/>
      <c r="AG10" s="16"/>
      <c r="AH10" s="17"/>
      <c r="AI10" s="17"/>
    </row>
    <row r="11" spans="1:35" ht="44" customHeight="1" x14ac:dyDescent="0.35">
      <c r="A11" s="6">
        <v>3</v>
      </c>
      <c r="B11" s="6" t="s">
        <v>73</v>
      </c>
      <c r="C11" s="21" t="s">
        <v>113</v>
      </c>
      <c r="D11" s="6">
        <v>8</v>
      </c>
      <c r="E11" s="6">
        <v>2</v>
      </c>
      <c r="F11" s="8"/>
      <c r="G11" s="8"/>
      <c r="H11" s="9"/>
      <c r="I11" s="7"/>
      <c r="J11" s="7"/>
      <c r="K11" s="7"/>
      <c r="L11" s="20"/>
      <c r="M11" s="20"/>
      <c r="N11" s="20"/>
      <c r="O11" s="8"/>
      <c r="P11" s="7"/>
      <c r="Q11" s="9"/>
      <c r="R11" s="7"/>
      <c r="S11" s="7"/>
      <c r="T11" s="7" t="s">
        <v>7</v>
      </c>
      <c r="U11" s="8"/>
      <c r="V11" s="7" t="s">
        <v>7</v>
      </c>
      <c r="W11" s="7"/>
      <c r="X11" s="7"/>
      <c r="Y11" s="7"/>
      <c r="Z11" s="7"/>
      <c r="AA11" s="7"/>
      <c r="AB11" s="7"/>
      <c r="AC11" s="7"/>
      <c r="AD11" s="8"/>
      <c r="AE11" s="16"/>
      <c r="AF11" s="16"/>
      <c r="AG11" s="16"/>
      <c r="AH11" s="17"/>
      <c r="AI11" s="17"/>
    </row>
    <row r="12" spans="1:35" ht="40" customHeight="1" x14ac:dyDescent="0.35">
      <c r="A12" s="6">
        <v>4</v>
      </c>
      <c r="B12" s="6" t="s">
        <v>74</v>
      </c>
      <c r="C12" s="21" t="s">
        <v>114</v>
      </c>
      <c r="D12" s="6">
        <v>16</v>
      </c>
      <c r="E12" s="6">
        <v>4</v>
      </c>
      <c r="F12" s="8"/>
      <c r="G12" s="8"/>
      <c r="H12" s="9"/>
      <c r="I12" s="7"/>
      <c r="J12" s="7"/>
      <c r="K12" s="7"/>
      <c r="L12" s="20"/>
      <c r="M12" s="20"/>
      <c r="N12" s="20"/>
      <c r="O12" s="8"/>
      <c r="P12" s="7"/>
      <c r="Q12" s="9"/>
      <c r="R12" s="7"/>
      <c r="S12" s="7"/>
      <c r="T12" s="7"/>
      <c r="U12" s="8"/>
      <c r="V12" s="7"/>
      <c r="W12" s="7" t="s">
        <v>7</v>
      </c>
      <c r="X12" s="7" t="s">
        <v>7</v>
      </c>
      <c r="Y12" s="7" t="s">
        <v>7</v>
      </c>
      <c r="Z12" s="7" t="s">
        <v>7</v>
      </c>
      <c r="AA12" s="7"/>
      <c r="AB12" s="7"/>
      <c r="AC12" s="7"/>
      <c r="AD12" s="8"/>
      <c r="AE12" s="16"/>
      <c r="AF12" s="16"/>
      <c r="AG12" s="16"/>
      <c r="AH12" s="17"/>
      <c r="AI12" s="17"/>
    </row>
    <row r="13" spans="1:35" ht="45" customHeight="1" x14ac:dyDescent="0.35">
      <c r="A13" s="6">
        <v>5</v>
      </c>
      <c r="B13" s="6" t="s">
        <v>75</v>
      </c>
      <c r="C13" s="21" t="s">
        <v>115</v>
      </c>
      <c r="D13" s="6">
        <v>12</v>
      </c>
      <c r="E13" s="6">
        <v>3</v>
      </c>
      <c r="F13" s="8"/>
      <c r="G13" s="8"/>
      <c r="H13" s="9"/>
      <c r="I13" s="7"/>
      <c r="J13" s="7"/>
      <c r="K13" s="7"/>
      <c r="L13" s="20"/>
      <c r="M13" s="20"/>
      <c r="N13" s="20"/>
      <c r="O13" s="8"/>
      <c r="P13" s="7"/>
      <c r="Q13" s="9"/>
      <c r="R13" s="7"/>
      <c r="S13" s="7"/>
      <c r="T13" s="7"/>
      <c r="U13" s="8"/>
      <c r="V13" s="7"/>
      <c r="W13" s="7"/>
      <c r="X13" s="7"/>
      <c r="Y13" s="7"/>
      <c r="Z13" s="7"/>
      <c r="AA13" s="7" t="s">
        <v>7</v>
      </c>
      <c r="AB13" s="7" t="s">
        <v>7</v>
      </c>
      <c r="AC13" s="7" t="s">
        <v>7</v>
      </c>
      <c r="AD13" s="8"/>
      <c r="AE13" s="16"/>
      <c r="AF13" s="16"/>
      <c r="AG13" s="16"/>
      <c r="AH13" s="17"/>
      <c r="AI13" s="17"/>
    </row>
    <row r="14" spans="1:35" x14ac:dyDescent="0.35">
      <c r="A14" s="22" t="s">
        <v>6</v>
      </c>
      <c r="B14" s="22"/>
      <c r="C14" s="22"/>
      <c r="D14" s="22" t="str">
        <f>SUM(D9:D13) &amp; " JP"</f>
        <v>60 JP</v>
      </c>
      <c r="E14" s="22" t="str">
        <f>SUM(E9:E13) &amp; " PTM"</f>
        <v>15 PTM</v>
      </c>
      <c r="F14" s="15"/>
      <c r="G14" s="15"/>
      <c r="H14" s="15" t="s">
        <v>48</v>
      </c>
      <c r="I14" s="15" t="s">
        <v>49</v>
      </c>
      <c r="J14" s="15" t="s">
        <v>50</v>
      </c>
      <c r="K14" s="15" t="s">
        <v>42</v>
      </c>
      <c r="L14" s="15" t="s">
        <v>43</v>
      </c>
      <c r="M14" s="15" t="s">
        <v>44</v>
      </c>
      <c r="N14" s="15" t="s">
        <v>45</v>
      </c>
      <c r="O14" s="15"/>
      <c r="P14" s="15" t="s">
        <v>21</v>
      </c>
      <c r="Q14" s="15" t="s">
        <v>22</v>
      </c>
      <c r="R14" s="15" t="s">
        <v>23</v>
      </c>
      <c r="S14" s="15" t="s">
        <v>24</v>
      </c>
      <c r="T14" s="15" t="s">
        <v>25</v>
      </c>
      <c r="U14" s="15"/>
      <c r="V14" s="15" t="s">
        <v>13</v>
      </c>
      <c r="W14" s="15" t="s">
        <v>14</v>
      </c>
      <c r="X14" s="15" t="s">
        <v>15</v>
      </c>
      <c r="Y14" s="15" t="s">
        <v>16</v>
      </c>
      <c r="Z14" s="15" t="s">
        <v>17</v>
      </c>
      <c r="AA14" s="15" t="s">
        <v>18</v>
      </c>
      <c r="AB14" s="15" t="s">
        <v>19</v>
      </c>
      <c r="AC14" s="15" t="s">
        <v>20</v>
      </c>
      <c r="AD14" s="15"/>
      <c r="AE14" s="15" t="s">
        <v>21</v>
      </c>
      <c r="AF14" s="15" t="s">
        <v>22</v>
      </c>
      <c r="AG14" s="15" t="s">
        <v>23</v>
      </c>
      <c r="AH14" s="15" t="s">
        <v>24</v>
      </c>
      <c r="AI14" s="15" t="s">
        <v>25</v>
      </c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3" spans="2:21" x14ac:dyDescent="0.35">
      <c r="U23" s="5" t="s">
        <v>132</v>
      </c>
    </row>
    <row r="24" spans="2:21" x14ac:dyDescent="0.35">
      <c r="F24" s="5" t="s">
        <v>40</v>
      </c>
      <c r="U24" s="5"/>
    </row>
    <row r="25" spans="2:21" x14ac:dyDescent="0.35">
      <c r="F25" s="5" t="s">
        <v>133</v>
      </c>
      <c r="U25" s="5" t="s">
        <v>39</v>
      </c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5"/>
      <c r="U28" s="5"/>
    </row>
    <row r="29" spans="2:21" x14ac:dyDescent="0.35">
      <c r="F29" s="14" t="s">
        <v>134</v>
      </c>
      <c r="U29" s="14" t="s">
        <v>136</v>
      </c>
    </row>
    <row r="30" spans="2:21" x14ac:dyDescent="0.35">
      <c r="F30" s="5" t="s">
        <v>135</v>
      </c>
      <c r="U30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EF34-A8F0-4D9F-8AAB-18F88B23DFA4}">
  <dimension ref="A1:AI29"/>
  <sheetViews>
    <sheetView zoomScaleNormal="100" workbookViewId="0">
      <selection activeCell="I2" sqref="I2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x14ac:dyDescent="0.35">
      <c r="AC2" s="19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51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87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50" customHeight="1" x14ac:dyDescent="0.35">
      <c r="A9" s="6">
        <v>1</v>
      </c>
      <c r="B9" s="6" t="s">
        <v>96</v>
      </c>
      <c r="C9" s="21" t="s">
        <v>116</v>
      </c>
      <c r="D9" s="6">
        <v>16</v>
      </c>
      <c r="E9" s="6">
        <v>4</v>
      </c>
      <c r="F9" s="8"/>
      <c r="G9" s="8"/>
      <c r="H9" s="7" t="s">
        <v>7</v>
      </c>
      <c r="I9" s="7" t="s">
        <v>7</v>
      </c>
      <c r="J9" s="7" t="s">
        <v>7</v>
      </c>
      <c r="K9" s="7" t="s">
        <v>7</v>
      </c>
      <c r="L9" s="20"/>
      <c r="M9" s="20"/>
      <c r="N9" s="20"/>
      <c r="O9" s="8"/>
      <c r="P9" s="7"/>
      <c r="Q9" s="9"/>
      <c r="R9" s="7"/>
      <c r="S9" s="7"/>
      <c r="T9" s="8"/>
      <c r="U9" s="7"/>
      <c r="V9" s="7"/>
      <c r="W9" s="7"/>
      <c r="X9" s="7"/>
      <c r="Y9" s="7"/>
      <c r="Z9" s="7"/>
      <c r="AA9" s="7"/>
      <c r="AB9" s="7"/>
      <c r="AC9" s="7"/>
      <c r="AD9" s="8"/>
      <c r="AE9" s="16"/>
      <c r="AF9" s="16"/>
      <c r="AG9" s="16"/>
      <c r="AH9" s="20"/>
      <c r="AI9" s="20"/>
    </row>
    <row r="10" spans="1:35" ht="55" customHeight="1" x14ac:dyDescent="0.35">
      <c r="A10" s="6">
        <v>2</v>
      </c>
      <c r="B10" s="6" t="s">
        <v>97</v>
      </c>
      <c r="C10" s="21" t="s">
        <v>117</v>
      </c>
      <c r="D10" s="6">
        <v>12</v>
      </c>
      <c r="E10" s="6">
        <v>3</v>
      </c>
      <c r="F10" s="8"/>
      <c r="G10" s="8"/>
      <c r="H10" s="7"/>
      <c r="I10" s="7"/>
      <c r="J10" s="7"/>
      <c r="K10" s="7"/>
      <c r="L10" s="20"/>
      <c r="M10" s="20"/>
      <c r="N10" s="20"/>
      <c r="O10" s="8"/>
      <c r="P10" s="7" t="s">
        <v>7</v>
      </c>
      <c r="Q10" s="9"/>
      <c r="R10" s="7" t="s">
        <v>7</v>
      </c>
      <c r="S10" s="7" t="s">
        <v>7</v>
      </c>
      <c r="T10" s="8"/>
      <c r="U10" s="7"/>
      <c r="V10" s="7"/>
      <c r="W10" s="7"/>
      <c r="X10" s="7"/>
      <c r="Y10" s="7"/>
      <c r="Z10" s="7"/>
      <c r="AA10" s="7"/>
      <c r="AB10" s="7"/>
      <c r="AC10" s="7"/>
      <c r="AD10" s="8"/>
      <c r="AE10" s="16"/>
      <c r="AF10" s="16"/>
      <c r="AG10" s="16"/>
      <c r="AH10" s="20"/>
      <c r="AI10" s="20"/>
    </row>
    <row r="11" spans="1:35" ht="40" customHeight="1" x14ac:dyDescent="0.35">
      <c r="A11" s="6">
        <v>3</v>
      </c>
      <c r="B11" s="6" t="s">
        <v>98</v>
      </c>
      <c r="C11" s="21" t="s">
        <v>118</v>
      </c>
      <c r="D11" s="6">
        <v>8</v>
      </c>
      <c r="E11" s="6">
        <v>2</v>
      </c>
      <c r="F11" s="8"/>
      <c r="G11" s="8"/>
      <c r="H11" s="7"/>
      <c r="I11" s="7"/>
      <c r="J11" s="7"/>
      <c r="K11" s="7"/>
      <c r="L11" s="20"/>
      <c r="M11" s="20"/>
      <c r="N11" s="20"/>
      <c r="O11" s="8"/>
      <c r="P11" s="7"/>
      <c r="Q11" s="9"/>
      <c r="R11" s="7"/>
      <c r="S11" s="7"/>
      <c r="T11" s="8"/>
      <c r="U11" s="7" t="s">
        <v>7</v>
      </c>
      <c r="V11" s="7" t="s">
        <v>7</v>
      </c>
      <c r="W11" s="7"/>
      <c r="X11" s="7"/>
      <c r="Y11" s="7"/>
      <c r="Z11" s="7"/>
      <c r="AA11" s="7"/>
      <c r="AB11" s="7"/>
      <c r="AC11" s="7"/>
      <c r="AD11" s="8"/>
      <c r="AE11" s="16"/>
      <c r="AF11" s="16"/>
      <c r="AG11" s="16"/>
      <c r="AH11" s="20"/>
      <c r="AI11" s="20"/>
    </row>
    <row r="12" spans="1:35" ht="35" customHeight="1" x14ac:dyDescent="0.35">
      <c r="A12" s="6">
        <v>4</v>
      </c>
      <c r="B12" s="6" t="s">
        <v>99</v>
      </c>
      <c r="C12" s="21" t="s">
        <v>119</v>
      </c>
      <c r="D12" s="6">
        <v>16</v>
      </c>
      <c r="E12" s="6">
        <v>4</v>
      </c>
      <c r="F12" s="8"/>
      <c r="G12" s="8"/>
      <c r="H12" s="7"/>
      <c r="I12" s="7"/>
      <c r="J12" s="7"/>
      <c r="K12" s="7"/>
      <c r="L12" s="20"/>
      <c r="M12" s="20"/>
      <c r="N12" s="20"/>
      <c r="O12" s="8"/>
      <c r="P12" s="7"/>
      <c r="Q12" s="9"/>
      <c r="R12" s="7"/>
      <c r="S12" s="7"/>
      <c r="T12" s="8"/>
      <c r="U12" s="7"/>
      <c r="V12" s="7"/>
      <c r="W12" s="7" t="s">
        <v>7</v>
      </c>
      <c r="X12" s="7" t="s">
        <v>7</v>
      </c>
      <c r="Y12" s="7" t="s">
        <v>7</v>
      </c>
      <c r="Z12" s="7" t="s">
        <v>7</v>
      </c>
      <c r="AA12" s="7"/>
      <c r="AB12" s="7"/>
      <c r="AC12" s="7"/>
      <c r="AD12" s="8"/>
      <c r="AE12" s="16"/>
      <c r="AF12" s="16"/>
      <c r="AG12" s="16"/>
      <c r="AH12" s="20"/>
      <c r="AI12" s="20"/>
    </row>
    <row r="13" spans="1:35" ht="45" customHeight="1" x14ac:dyDescent="0.35">
      <c r="A13" s="6">
        <v>5</v>
      </c>
      <c r="B13" s="6" t="s">
        <v>100</v>
      </c>
      <c r="C13" s="21" t="s">
        <v>120</v>
      </c>
      <c r="D13" s="6">
        <v>12</v>
      </c>
      <c r="E13" s="6">
        <v>3</v>
      </c>
      <c r="F13" s="8"/>
      <c r="G13" s="8"/>
      <c r="H13" s="7"/>
      <c r="I13" s="7"/>
      <c r="J13" s="7"/>
      <c r="K13" s="7"/>
      <c r="L13" s="20"/>
      <c r="M13" s="20"/>
      <c r="N13" s="20"/>
      <c r="O13" s="8"/>
      <c r="P13" s="7"/>
      <c r="Q13" s="9"/>
      <c r="R13" s="7"/>
      <c r="S13" s="7"/>
      <c r="T13" s="8"/>
      <c r="U13" s="7"/>
      <c r="V13" s="7"/>
      <c r="W13" s="7"/>
      <c r="X13" s="7"/>
      <c r="Y13" s="7"/>
      <c r="Z13" s="7"/>
      <c r="AA13" s="7" t="s">
        <v>7</v>
      </c>
      <c r="AB13" s="7" t="s">
        <v>7</v>
      </c>
      <c r="AC13" s="7" t="s">
        <v>7</v>
      </c>
      <c r="AD13" s="8"/>
      <c r="AE13" s="16"/>
      <c r="AF13" s="16"/>
      <c r="AG13" s="16"/>
      <c r="AH13" s="20"/>
      <c r="AI13" s="20"/>
    </row>
    <row r="14" spans="1:35" x14ac:dyDescent="0.35">
      <c r="A14" s="22" t="s">
        <v>6</v>
      </c>
      <c r="B14" s="22"/>
      <c r="C14" s="22"/>
      <c r="D14" s="22" t="str">
        <f>SUM(D9:D13) &amp; " JP"</f>
        <v>64 JP</v>
      </c>
      <c r="E14" s="22" t="str">
        <f>SUM(E9:E13) &amp; " PTM"</f>
        <v>16 PTM</v>
      </c>
      <c r="F14" s="15"/>
      <c r="G14" s="15"/>
      <c r="H14" s="15" t="s">
        <v>10</v>
      </c>
      <c r="I14" s="15" t="s">
        <v>11</v>
      </c>
      <c r="J14" s="15" t="s">
        <v>12</v>
      </c>
      <c r="K14" s="15" t="s">
        <v>13</v>
      </c>
      <c r="L14" s="15" t="s">
        <v>14</v>
      </c>
      <c r="M14" s="15" t="s">
        <v>15</v>
      </c>
      <c r="N14" s="15" t="s">
        <v>16</v>
      </c>
      <c r="O14" s="15"/>
      <c r="P14" s="15" t="s">
        <v>17</v>
      </c>
      <c r="Q14" s="15" t="s">
        <v>18</v>
      </c>
      <c r="R14" s="15" t="s">
        <v>19</v>
      </c>
      <c r="S14" s="15" t="s">
        <v>20</v>
      </c>
      <c r="T14" s="15"/>
      <c r="U14" s="15" t="s">
        <v>21</v>
      </c>
      <c r="V14" s="15" t="s">
        <v>22</v>
      </c>
      <c r="W14" s="15" t="s">
        <v>23</v>
      </c>
      <c r="X14" s="15" t="s">
        <v>24</v>
      </c>
      <c r="Y14" s="15" t="s">
        <v>25</v>
      </c>
      <c r="Z14" s="15" t="s">
        <v>26</v>
      </c>
      <c r="AA14" s="15" t="s">
        <v>27</v>
      </c>
      <c r="AB14" s="15" t="s">
        <v>28</v>
      </c>
      <c r="AC14" s="15" t="s">
        <v>29</v>
      </c>
      <c r="AD14" s="15"/>
      <c r="AE14" s="15" t="s">
        <v>17</v>
      </c>
      <c r="AF14" s="15" t="s">
        <v>18</v>
      </c>
      <c r="AG14" s="15" t="s">
        <v>19</v>
      </c>
      <c r="AH14" s="15" t="s">
        <v>20</v>
      </c>
      <c r="AI14" s="15" t="s">
        <v>46</v>
      </c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2" spans="2:21" x14ac:dyDescent="0.35">
      <c r="U22" s="5" t="s">
        <v>132</v>
      </c>
    </row>
    <row r="23" spans="2:21" x14ac:dyDescent="0.35">
      <c r="F23" s="5" t="s">
        <v>40</v>
      </c>
      <c r="U23" s="5"/>
    </row>
    <row r="24" spans="2:21" x14ac:dyDescent="0.35">
      <c r="F24" s="5" t="s">
        <v>133</v>
      </c>
      <c r="U24" s="5" t="s">
        <v>39</v>
      </c>
    </row>
    <row r="25" spans="2:21" x14ac:dyDescent="0.35">
      <c r="F25" s="5"/>
      <c r="U25" s="5"/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14" t="s">
        <v>134</v>
      </c>
      <c r="U28" s="14" t="s">
        <v>136</v>
      </c>
    </row>
    <row r="29" spans="2:21" x14ac:dyDescent="0.35">
      <c r="F29" s="5" t="s">
        <v>135</v>
      </c>
      <c r="U29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194B-6AE7-4D20-9882-3DE2A821DD30}">
  <dimension ref="A1:AI30"/>
  <sheetViews>
    <sheetView workbookViewId="0">
      <selection activeCell="H2" sqref="H2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41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93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44" customHeight="1" x14ac:dyDescent="0.35">
      <c r="A9" s="6">
        <v>1</v>
      </c>
      <c r="B9" s="6" t="s">
        <v>81</v>
      </c>
      <c r="C9" s="21" t="s">
        <v>121</v>
      </c>
      <c r="D9" s="6">
        <v>16</v>
      </c>
      <c r="E9" s="6">
        <v>4</v>
      </c>
      <c r="F9" s="8"/>
      <c r="G9" s="8"/>
      <c r="H9" s="9"/>
      <c r="I9" s="7" t="s">
        <v>7</v>
      </c>
      <c r="J9" s="7" t="s">
        <v>7</v>
      </c>
      <c r="K9" s="7" t="s">
        <v>7</v>
      </c>
      <c r="L9" s="20"/>
      <c r="M9" s="20"/>
      <c r="N9" s="20"/>
      <c r="O9" s="7" t="s">
        <v>7</v>
      </c>
      <c r="P9" s="8"/>
      <c r="Q9" s="9"/>
      <c r="R9" s="7"/>
      <c r="S9" s="7"/>
      <c r="T9" s="7"/>
      <c r="U9" s="8"/>
      <c r="V9" s="7"/>
      <c r="W9" s="7"/>
      <c r="X9" s="7"/>
      <c r="Y9" s="7"/>
      <c r="Z9" s="7"/>
      <c r="AA9" s="7"/>
      <c r="AB9" s="7"/>
      <c r="AC9" s="7"/>
      <c r="AD9" s="7"/>
      <c r="AE9" s="16"/>
      <c r="AF9" s="16"/>
      <c r="AG9" s="16"/>
      <c r="AH9" s="17"/>
      <c r="AI9" s="17"/>
    </row>
    <row r="10" spans="1:35" ht="45" customHeight="1" x14ac:dyDescent="0.35">
      <c r="A10" s="6">
        <v>2</v>
      </c>
      <c r="B10" s="6" t="s">
        <v>82</v>
      </c>
      <c r="C10" s="21" t="s">
        <v>122</v>
      </c>
      <c r="D10" s="6">
        <v>12</v>
      </c>
      <c r="E10" s="6">
        <v>3</v>
      </c>
      <c r="F10" s="8"/>
      <c r="G10" s="8"/>
      <c r="H10" s="9"/>
      <c r="I10" s="7"/>
      <c r="J10" s="7"/>
      <c r="K10" s="7"/>
      <c r="L10" s="20"/>
      <c r="M10" s="20"/>
      <c r="N10" s="20"/>
      <c r="O10" s="7"/>
      <c r="P10" s="8"/>
      <c r="Q10" s="9"/>
      <c r="R10" s="7" t="s">
        <v>7</v>
      </c>
      <c r="S10" s="7" t="s">
        <v>7</v>
      </c>
      <c r="T10" s="7" t="s">
        <v>7</v>
      </c>
      <c r="U10" s="8"/>
      <c r="V10" s="7"/>
      <c r="W10" s="7"/>
      <c r="X10" s="7"/>
      <c r="Y10" s="7"/>
      <c r="Z10" s="7"/>
      <c r="AA10" s="7"/>
      <c r="AB10" s="7"/>
      <c r="AC10" s="7"/>
      <c r="AD10" s="7"/>
      <c r="AE10" s="16"/>
      <c r="AF10" s="16"/>
      <c r="AG10" s="16"/>
      <c r="AH10" s="17"/>
      <c r="AI10" s="17"/>
    </row>
    <row r="11" spans="1:35" ht="45" customHeight="1" x14ac:dyDescent="0.35">
      <c r="A11" s="6">
        <v>3</v>
      </c>
      <c r="B11" s="6" t="s">
        <v>83</v>
      </c>
      <c r="C11" s="21" t="s">
        <v>123</v>
      </c>
      <c r="D11" s="6">
        <v>8</v>
      </c>
      <c r="E11" s="6">
        <v>2</v>
      </c>
      <c r="F11" s="8"/>
      <c r="G11" s="8"/>
      <c r="H11" s="9"/>
      <c r="I11" s="7"/>
      <c r="J11" s="7"/>
      <c r="K11" s="7"/>
      <c r="L11" s="20"/>
      <c r="M11" s="20"/>
      <c r="N11" s="20"/>
      <c r="O11" s="7"/>
      <c r="P11" s="8"/>
      <c r="Q11" s="9"/>
      <c r="R11" s="7"/>
      <c r="S11" s="7"/>
      <c r="T11" s="7"/>
      <c r="U11" s="8"/>
      <c r="V11" s="7" t="s">
        <v>7</v>
      </c>
      <c r="W11" s="7" t="s">
        <v>7</v>
      </c>
      <c r="X11" s="7"/>
      <c r="Y11" s="7"/>
      <c r="Z11" s="7"/>
      <c r="AA11" s="7"/>
      <c r="AB11" s="7"/>
      <c r="AC11" s="7"/>
      <c r="AD11" s="7"/>
      <c r="AE11" s="16"/>
      <c r="AF11" s="16"/>
      <c r="AG11" s="16"/>
      <c r="AH11" s="17"/>
      <c r="AI11" s="17"/>
    </row>
    <row r="12" spans="1:35" ht="40" customHeight="1" x14ac:dyDescent="0.35">
      <c r="A12" s="6">
        <v>4</v>
      </c>
      <c r="B12" s="6" t="s">
        <v>84</v>
      </c>
      <c r="C12" s="21" t="s">
        <v>124</v>
      </c>
      <c r="D12" s="6">
        <v>16</v>
      </c>
      <c r="E12" s="6">
        <v>4</v>
      </c>
      <c r="F12" s="8"/>
      <c r="G12" s="8"/>
      <c r="H12" s="9"/>
      <c r="I12" s="7"/>
      <c r="J12" s="7"/>
      <c r="K12" s="7"/>
      <c r="L12" s="20"/>
      <c r="M12" s="20"/>
      <c r="N12" s="20"/>
      <c r="O12" s="7"/>
      <c r="P12" s="8"/>
      <c r="Q12" s="9"/>
      <c r="R12" s="7"/>
      <c r="S12" s="7"/>
      <c r="T12" s="7"/>
      <c r="U12" s="8"/>
      <c r="V12" s="7"/>
      <c r="W12" s="7"/>
      <c r="X12" s="7" t="s">
        <v>7</v>
      </c>
      <c r="Y12" s="7" t="s">
        <v>7</v>
      </c>
      <c r="Z12" s="7" t="s">
        <v>7</v>
      </c>
      <c r="AA12" s="7" t="s">
        <v>7</v>
      </c>
      <c r="AB12" s="7"/>
      <c r="AC12" s="7"/>
      <c r="AD12" s="7"/>
      <c r="AE12" s="16"/>
      <c r="AF12" s="16"/>
      <c r="AG12" s="16"/>
      <c r="AH12" s="17"/>
      <c r="AI12" s="17"/>
    </row>
    <row r="13" spans="1:35" ht="40" customHeight="1" x14ac:dyDescent="0.35">
      <c r="A13" s="6">
        <v>5</v>
      </c>
      <c r="B13" s="6" t="s">
        <v>85</v>
      </c>
      <c r="C13" s="21" t="s">
        <v>125</v>
      </c>
      <c r="D13" s="6">
        <v>12</v>
      </c>
      <c r="E13" s="6">
        <v>3</v>
      </c>
      <c r="F13" s="8"/>
      <c r="G13" s="8"/>
      <c r="H13" s="9"/>
      <c r="I13" s="7"/>
      <c r="J13" s="7"/>
      <c r="K13" s="7"/>
      <c r="L13" s="20"/>
      <c r="M13" s="20"/>
      <c r="N13" s="20"/>
      <c r="O13" s="7"/>
      <c r="P13" s="8"/>
      <c r="Q13" s="9"/>
      <c r="R13" s="7"/>
      <c r="S13" s="7"/>
      <c r="T13" s="7"/>
      <c r="U13" s="8"/>
      <c r="V13" s="7"/>
      <c r="W13" s="7"/>
      <c r="X13" s="7"/>
      <c r="Y13" s="7"/>
      <c r="Z13" s="7"/>
      <c r="AA13" s="7"/>
      <c r="AB13" s="7" t="s">
        <v>7</v>
      </c>
      <c r="AC13" s="7" t="s">
        <v>7</v>
      </c>
      <c r="AD13" s="7" t="s">
        <v>7</v>
      </c>
      <c r="AE13" s="16"/>
      <c r="AF13" s="16"/>
      <c r="AG13" s="16"/>
      <c r="AH13" s="17"/>
      <c r="AI13" s="17"/>
    </row>
    <row r="14" spans="1:35" x14ac:dyDescent="0.35">
      <c r="A14" s="22" t="s">
        <v>6</v>
      </c>
      <c r="B14" s="22"/>
      <c r="C14" s="22"/>
      <c r="D14" s="22" t="str">
        <f>SUM(D9:D13) &amp; " JP"</f>
        <v>64 JP</v>
      </c>
      <c r="E14" s="22" t="str">
        <f>SUM(E9:E13) &amp; " PTM"</f>
        <v>16 PTM</v>
      </c>
      <c r="F14" s="15"/>
      <c r="G14" s="15"/>
      <c r="H14" s="15" t="s">
        <v>14</v>
      </c>
      <c r="I14" s="15" t="s">
        <v>15</v>
      </c>
      <c r="J14" s="15" t="s">
        <v>16</v>
      </c>
      <c r="K14" s="15" t="s">
        <v>17</v>
      </c>
      <c r="L14" s="15" t="s">
        <v>18</v>
      </c>
      <c r="M14" s="15" t="s">
        <v>19</v>
      </c>
      <c r="N14" s="15" t="s">
        <v>20</v>
      </c>
      <c r="O14" s="15" t="s">
        <v>46</v>
      </c>
      <c r="P14" s="15"/>
      <c r="Q14" s="15" t="s">
        <v>47</v>
      </c>
      <c r="R14" s="15" t="s">
        <v>48</v>
      </c>
      <c r="S14" s="15" t="s">
        <v>49</v>
      </c>
      <c r="T14" s="15" t="s">
        <v>50</v>
      </c>
      <c r="U14" s="15"/>
      <c r="V14" s="15" t="s">
        <v>26</v>
      </c>
      <c r="W14" s="15" t="s">
        <v>27</v>
      </c>
      <c r="X14" s="15" t="s">
        <v>28</v>
      </c>
      <c r="Y14" s="15" t="s">
        <v>29</v>
      </c>
      <c r="Z14" s="15" t="s">
        <v>8</v>
      </c>
      <c r="AA14" s="15" t="s">
        <v>9</v>
      </c>
      <c r="AB14" s="15" t="s">
        <v>10</v>
      </c>
      <c r="AC14" s="15" t="s">
        <v>11</v>
      </c>
      <c r="AD14" s="15" t="s">
        <v>12</v>
      </c>
      <c r="AE14" s="15" t="s">
        <v>47</v>
      </c>
      <c r="AF14" s="15" t="s">
        <v>48</v>
      </c>
      <c r="AG14" s="15" t="s">
        <v>49</v>
      </c>
      <c r="AH14" s="15" t="s">
        <v>50</v>
      </c>
      <c r="AI14" s="15"/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3" spans="2:21" x14ac:dyDescent="0.35">
      <c r="U23" s="5" t="s">
        <v>132</v>
      </c>
    </row>
    <row r="24" spans="2:21" x14ac:dyDescent="0.35">
      <c r="F24" s="5" t="s">
        <v>40</v>
      </c>
      <c r="U24" s="5"/>
    </row>
    <row r="25" spans="2:21" x14ac:dyDescent="0.35">
      <c r="F25" s="5" t="s">
        <v>133</v>
      </c>
      <c r="U25" s="5" t="s">
        <v>39</v>
      </c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5"/>
      <c r="U28" s="5"/>
    </row>
    <row r="29" spans="2:21" x14ac:dyDescent="0.35">
      <c r="F29" s="14" t="s">
        <v>134</v>
      </c>
      <c r="U29" s="14" t="s">
        <v>136</v>
      </c>
    </row>
    <row r="30" spans="2:21" x14ac:dyDescent="0.35">
      <c r="F30" s="5" t="s">
        <v>135</v>
      </c>
      <c r="U30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E461-9AB8-475B-9E5F-156C5C08BD77}">
  <sheetPr>
    <pageSetUpPr fitToPage="1"/>
  </sheetPr>
  <dimension ref="A1:AI30"/>
  <sheetViews>
    <sheetView workbookViewId="0">
      <selection activeCell="I2" sqref="I2"/>
    </sheetView>
  </sheetViews>
  <sheetFormatPr defaultRowHeight="14" x14ac:dyDescent="0.35"/>
  <cols>
    <col min="1" max="1" width="4.7265625" style="1" customWidth="1"/>
    <col min="2" max="2" width="4.81640625" style="1" customWidth="1"/>
    <col min="3" max="3" width="55.81640625" style="1" customWidth="1"/>
    <col min="4" max="4" width="6.1796875" style="1" customWidth="1"/>
    <col min="5" max="5" width="8.08984375" style="1" customWidth="1"/>
    <col min="6" max="35" width="2.6328125" style="1" customWidth="1"/>
    <col min="36" max="16384" width="8.7265625" style="1"/>
  </cols>
  <sheetData>
    <row r="1" spans="1:35" ht="15" x14ac:dyDescent="0.3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3" spans="1:35" x14ac:dyDescent="0.35">
      <c r="C3" s="2" t="s">
        <v>32</v>
      </c>
      <c r="D3" s="2" t="s">
        <v>95</v>
      </c>
      <c r="N3" s="2" t="s">
        <v>33</v>
      </c>
      <c r="O3" s="2"/>
      <c r="P3" s="2"/>
      <c r="Q3" s="2"/>
      <c r="R3" s="2"/>
      <c r="T3" s="2" t="s">
        <v>35</v>
      </c>
    </row>
    <row r="4" spans="1:35" x14ac:dyDescent="0.35">
      <c r="C4" s="2" t="s">
        <v>31</v>
      </c>
      <c r="D4" s="2" t="s">
        <v>131</v>
      </c>
      <c r="N4" s="2" t="s">
        <v>34</v>
      </c>
      <c r="O4" s="2"/>
      <c r="P4" s="2"/>
      <c r="Q4" s="2"/>
      <c r="R4" s="2"/>
      <c r="T4" s="2" t="s">
        <v>36</v>
      </c>
    </row>
    <row r="5" spans="1:35" x14ac:dyDescent="0.35">
      <c r="N5" s="2" t="s">
        <v>86</v>
      </c>
      <c r="O5" s="2"/>
      <c r="P5" s="2"/>
      <c r="Q5" s="2"/>
      <c r="R5" s="2"/>
      <c r="S5" s="2"/>
      <c r="T5" s="2" t="s">
        <v>94</v>
      </c>
    </row>
    <row r="6" spans="1:35" x14ac:dyDescent="0.35">
      <c r="A6" s="22" t="s">
        <v>0</v>
      </c>
      <c r="B6" s="22" t="s">
        <v>1</v>
      </c>
      <c r="C6" s="22"/>
      <c r="D6" s="22" t="s">
        <v>4</v>
      </c>
      <c r="E6" s="22"/>
      <c r="F6" s="22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35">
      <c r="A7" s="22"/>
      <c r="B7" s="22"/>
      <c r="C7" s="22"/>
      <c r="D7" s="22"/>
      <c r="E7" s="22"/>
      <c r="F7" s="27" t="s">
        <v>60</v>
      </c>
      <c r="G7" s="27"/>
      <c r="H7" s="27"/>
      <c r="I7" s="27"/>
      <c r="J7" s="27"/>
      <c r="K7" s="27" t="s">
        <v>61</v>
      </c>
      <c r="L7" s="27"/>
      <c r="M7" s="27"/>
      <c r="N7" s="27"/>
      <c r="O7" s="27"/>
      <c r="P7" s="27" t="s">
        <v>62</v>
      </c>
      <c r="Q7" s="27"/>
      <c r="R7" s="27"/>
      <c r="S7" s="27"/>
      <c r="T7" s="27"/>
      <c r="U7" s="27" t="s">
        <v>63</v>
      </c>
      <c r="V7" s="27"/>
      <c r="W7" s="27"/>
      <c r="X7" s="27"/>
      <c r="Y7" s="27"/>
      <c r="Z7" s="27" t="s">
        <v>64</v>
      </c>
      <c r="AA7" s="27"/>
      <c r="AB7" s="27"/>
      <c r="AC7" s="27"/>
      <c r="AD7" s="27"/>
      <c r="AE7" s="27" t="s">
        <v>65</v>
      </c>
      <c r="AF7" s="27"/>
      <c r="AG7" s="27"/>
      <c r="AH7" s="27"/>
      <c r="AI7" s="27"/>
    </row>
    <row r="8" spans="1:35" x14ac:dyDescent="0.35">
      <c r="A8" s="22"/>
      <c r="B8" s="22"/>
      <c r="C8" s="22"/>
      <c r="D8" s="3" t="s">
        <v>2</v>
      </c>
      <c r="E8" s="3" t="s">
        <v>3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1</v>
      </c>
      <c r="L8" s="4">
        <v>2</v>
      </c>
      <c r="M8" s="4">
        <v>3</v>
      </c>
      <c r="N8" s="4">
        <v>4</v>
      </c>
      <c r="O8" s="4">
        <v>5</v>
      </c>
      <c r="P8" s="4">
        <v>1</v>
      </c>
      <c r="Q8" s="4">
        <v>2</v>
      </c>
      <c r="R8" s="4">
        <v>3</v>
      </c>
      <c r="S8" s="4">
        <v>4</v>
      </c>
      <c r="T8" s="4">
        <v>5</v>
      </c>
      <c r="U8" s="4">
        <v>1</v>
      </c>
      <c r="V8" s="4">
        <v>2</v>
      </c>
      <c r="W8" s="4">
        <v>3</v>
      </c>
      <c r="X8" s="4">
        <v>4</v>
      </c>
      <c r="Y8" s="4">
        <v>5</v>
      </c>
      <c r="Z8" s="4">
        <v>1</v>
      </c>
      <c r="AA8" s="4">
        <v>2</v>
      </c>
      <c r="AB8" s="4">
        <v>3</v>
      </c>
      <c r="AC8" s="4">
        <v>4</v>
      </c>
      <c r="AD8" s="4">
        <v>5</v>
      </c>
      <c r="AE8" s="4">
        <v>1</v>
      </c>
      <c r="AF8" s="4">
        <v>2</v>
      </c>
      <c r="AG8" s="4">
        <v>3</v>
      </c>
      <c r="AH8" s="4">
        <v>4</v>
      </c>
      <c r="AI8" s="4">
        <v>5</v>
      </c>
    </row>
    <row r="9" spans="1:35" ht="44" customHeight="1" x14ac:dyDescent="0.35">
      <c r="A9" s="6">
        <v>1</v>
      </c>
      <c r="B9" s="6" t="s">
        <v>76</v>
      </c>
      <c r="C9" s="21" t="s">
        <v>126</v>
      </c>
      <c r="D9" s="6">
        <v>16</v>
      </c>
      <c r="E9" s="6">
        <v>4</v>
      </c>
      <c r="F9" s="8"/>
      <c r="G9" s="8"/>
      <c r="H9" s="7" t="s">
        <v>7</v>
      </c>
      <c r="I9" s="7" t="s">
        <v>7</v>
      </c>
      <c r="J9" s="8"/>
      <c r="K9" s="7" t="s">
        <v>7</v>
      </c>
      <c r="L9" s="7" t="s">
        <v>7</v>
      </c>
      <c r="M9" s="20"/>
      <c r="N9" s="20"/>
      <c r="O9" s="20"/>
      <c r="P9" s="7"/>
      <c r="Q9" s="9"/>
      <c r="R9" s="7"/>
      <c r="S9" s="7"/>
      <c r="T9" s="8"/>
      <c r="U9" s="7"/>
      <c r="V9" s="7"/>
      <c r="W9" s="7"/>
      <c r="X9" s="7"/>
      <c r="Y9" s="7"/>
      <c r="Z9" s="7"/>
      <c r="AA9" s="7"/>
      <c r="AB9" s="7"/>
      <c r="AC9" s="7"/>
      <c r="AD9" s="8"/>
      <c r="AE9" s="16"/>
      <c r="AF9" s="16"/>
      <c r="AG9" s="16"/>
      <c r="AH9" s="17"/>
      <c r="AI9" s="17"/>
    </row>
    <row r="10" spans="1:35" ht="45" customHeight="1" x14ac:dyDescent="0.35">
      <c r="A10" s="6">
        <v>2</v>
      </c>
      <c r="B10" s="6" t="s">
        <v>77</v>
      </c>
      <c r="C10" s="21" t="s">
        <v>127</v>
      </c>
      <c r="D10" s="6">
        <v>12</v>
      </c>
      <c r="E10" s="6">
        <v>3</v>
      </c>
      <c r="F10" s="8"/>
      <c r="G10" s="8"/>
      <c r="H10" s="7"/>
      <c r="I10" s="7"/>
      <c r="J10" s="8"/>
      <c r="K10" s="7"/>
      <c r="L10" s="7"/>
      <c r="M10" s="20"/>
      <c r="N10" s="20"/>
      <c r="O10" s="20"/>
      <c r="P10" s="7" t="s">
        <v>7</v>
      </c>
      <c r="Q10" s="9"/>
      <c r="R10" s="7" t="s">
        <v>7</v>
      </c>
      <c r="S10" s="7" t="s">
        <v>7</v>
      </c>
      <c r="T10" s="8"/>
      <c r="U10" s="7"/>
      <c r="V10" s="7"/>
      <c r="W10" s="7"/>
      <c r="X10" s="7"/>
      <c r="Y10" s="7"/>
      <c r="Z10" s="7"/>
      <c r="AA10" s="7"/>
      <c r="AB10" s="7"/>
      <c r="AC10" s="7"/>
      <c r="AD10" s="8"/>
      <c r="AE10" s="16"/>
      <c r="AF10" s="16"/>
      <c r="AG10" s="16"/>
      <c r="AH10" s="17"/>
      <c r="AI10" s="17"/>
    </row>
    <row r="11" spans="1:35" ht="40" customHeight="1" x14ac:dyDescent="0.35">
      <c r="A11" s="6">
        <v>3</v>
      </c>
      <c r="B11" s="6" t="s">
        <v>78</v>
      </c>
      <c r="C11" s="21" t="s">
        <v>128</v>
      </c>
      <c r="D11" s="6">
        <v>12</v>
      </c>
      <c r="E11" s="6">
        <v>3</v>
      </c>
      <c r="F11" s="8"/>
      <c r="G11" s="8"/>
      <c r="H11" s="7"/>
      <c r="I11" s="7"/>
      <c r="J11" s="8"/>
      <c r="K11" s="7"/>
      <c r="L11" s="7"/>
      <c r="M11" s="20"/>
      <c r="N11" s="20"/>
      <c r="O11" s="20"/>
      <c r="P11" s="7"/>
      <c r="Q11" s="9"/>
      <c r="R11" s="7"/>
      <c r="S11" s="7"/>
      <c r="T11" s="8"/>
      <c r="U11" s="7" t="s">
        <v>7</v>
      </c>
      <c r="V11" s="7" t="s">
        <v>7</v>
      </c>
      <c r="W11" s="7" t="s">
        <v>7</v>
      </c>
      <c r="X11" s="7"/>
      <c r="Y11" s="7"/>
      <c r="Z11" s="7"/>
      <c r="AA11" s="7"/>
      <c r="AB11" s="7"/>
      <c r="AC11" s="7"/>
      <c r="AD11" s="8"/>
      <c r="AE11" s="16"/>
      <c r="AF11" s="16"/>
      <c r="AG11" s="16"/>
      <c r="AH11" s="17"/>
      <c r="AI11" s="17"/>
    </row>
    <row r="12" spans="1:35" ht="40" customHeight="1" x14ac:dyDescent="0.35">
      <c r="A12" s="6">
        <v>4</v>
      </c>
      <c r="B12" s="6" t="s">
        <v>79</v>
      </c>
      <c r="C12" s="21" t="s">
        <v>129</v>
      </c>
      <c r="D12" s="6">
        <v>12</v>
      </c>
      <c r="E12" s="6">
        <v>3</v>
      </c>
      <c r="F12" s="8"/>
      <c r="G12" s="8"/>
      <c r="H12" s="7"/>
      <c r="I12" s="7"/>
      <c r="J12" s="8"/>
      <c r="K12" s="7"/>
      <c r="L12" s="7"/>
      <c r="M12" s="20"/>
      <c r="N12" s="20"/>
      <c r="O12" s="20"/>
      <c r="P12" s="7"/>
      <c r="Q12" s="9"/>
      <c r="R12" s="7"/>
      <c r="S12" s="7"/>
      <c r="T12" s="8"/>
      <c r="U12" s="7"/>
      <c r="V12" s="7"/>
      <c r="W12" s="7"/>
      <c r="X12" s="7" t="s">
        <v>7</v>
      </c>
      <c r="Y12" s="7" t="s">
        <v>7</v>
      </c>
      <c r="Z12" s="7" t="s">
        <v>7</v>
      </c>
      <c r="AA12" s="7"/>
      <c r="AB12" s="7"/>
      <c r="AC12" s="7"/>
      <c r="AD12" s="8"/>
      <c r="AE12" s="16"/>
      <c r="AF12" s="16"/>
      <c r="AG12" s="16"/>
      <c r="AH12" s="17"/>
      <c r="AI12" s="17"/>
    </row>
    <row r="13" spans="1:35" ht="45" customHeight="1" x14ac:dyDescent="0.35">
      <c r="A13" s="6">
        <v>5</v>
      </c>
      <c r="B13" s="6" t="s">
        <v>80</v>
      </c>
      <c r="C13" s="21" t="s">
        <v>130</v>
      </c>
      <c r="D13" s="6">
        <v>12</v>
      </c>
      <c r="E13" s="6">
        <v>3</v>
      </c>
      <c r="F13" s="8"/>
      <c r="G13" s="8"/>
      <c r="H13" s="7"/>
      <c r="I13" s="7"/>
      <c r="J13" s="8"/>
      <c r="K13" s="7"/>
      <c r="L13" s="7"/>
      <c r="M13" s="20"/>
      <c r="N13" s="20"/>
      <c r="O13" s="20"/>
      <c r="P13" s="7"/>
      <c r="Q13" s="9"/>
      <c r="R13" s="7"/>
      <c r="S13" s="7"/>
      <c r="T13" s="8"/>
      <c r="U13" s="7"/>
      <c r="V13" s="7"/>
      <c r="W13" s="7"/>
      <c r="X13" s="7"/>
      <c r="Y13" s="7"/>
      <c r="Z13" s="7"/>
      <c r="AA13" s="7" t="s">
        <v>7</v>
      </c>
      <c r="AB13" s="7" t="s">
        <v>7</v>
      </c>
      <c r="AC13" s="7" t="s">
        <v>7</v>
      </c>
      <c r="AD13" s="8"/>
      <c r="AE13" s="16"/>
      <c r="AF13" s="16"/>
      <c r="AG13" s="16"/>
      <c r="AH13" s="17"/>
      <c r="AI13" s="17"/>
    </row>
    <row r="14" spans="1:35" x14ac:dyDescent="0.35">
      <c r="A14" s="22" t="s">
        <v>6</v>
      </c>
      <c r="B14" s="22"/>
      <c r="C14" s="22"/>
      <c r="D14" s="22" t="str">
        <f>SUM(D9:D13) &amp; " JP"</f>
        <v>64 JP</v>
      </c>
      <c r="E14" s="22" t="str">
        <f>SUM(E9:E13) &amp; " PTM"</f>
        <v>16 PTM</v>
      </c>
      <c r="F14" s="15"/>
      <c r="G14" s="15"/>
      <c r="H14" s="15" t="s">
        <v>44</v>
      </c>
      <c r="I14" s="15" t="s">
        <v>45</v>
      </c>
      <c r="J14" s="15"/>
      <c r="K14" s="15" t="s">
        <v>21</v>
      </c>
      <c r="L14" s="15" t="s">
        <v>22</v>
      </c>
      <c r="M14" s="15" t="s">
        <v>23</v>
      </c>
      <c r="N14" s="15" t="s">
        <v>24</v>
      </c>
      <c r="O14" s="15" t="s">
        <v>25</v>
      </c>
      <c r="P14" s="15" t="s">
        <v>26</v>
      </c>
      <c r="Q14" s="15" t="s">
        <v>27</v>
      </c>
      <c r="R14" s="15" t="s">
        <v>28</v>
      </c>
      <c r="S14" s="15" t="s">
        <v>29</v>
      </c>
      <c r="T14" s="15"/>
      <c r="U14" s="15" t="s">
        <v>17</v>
      </c>
      <c r="V14" s="15" t="s">
        <v>18</v>
      </c>
      <c r="W14" s="15" t="s">
        <v>19</v>
      </c>
      <c r="X14" s="15" t="s">
        <v>20</v>
      </c>
      <c r="Y14" s="15" t="s">
        <v>46</v>
      </c>
      <c r="Z14" s="15" t="s">
        <v>47</v>
      </c>
      <c r="AA14" s="15" t="s">
        <v>48</v>
      </c>
      <c r="AB14" s="15" t="s">
        <v>49</v>
      </c>
      <c r="AC14" s="15" t="s">
        <v>50</v>
      </c>
      <c r="AD14" s="15"/>
      <c r="AE14" s="15" t="s">
        <v>26</v>
      </c>
      <c r="AF14" s="15" t="s">
        <v>27</v>
      </c>
      <c r="AG14" s="15" t="s">
        <v>28</v>
      </c>
      <c r="AH14" s="15" t="s">
        <v>29</v>
      </c>
      <c r="AI14" s="15"/>
    </row>
    <row r="15" spans="1:35" x14ac:dyDescent="0.35">
      <c r="A15" s="22"/>
      <c r="B15" s="22"/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 ht="14" customHeight="1" x14ac:dyDescent="0.35"/>
    <row r="17" spans="2:21" x14ac:dyDescent="0.35">
      <c r="C17" s="13" t="s">
        <v>37</v>
      </c>
    </row>
    <row r="18" spans="2:21" x14ac:dyDescent="0.35">
      <c r="B18" s="7" t="s">
        <v>7</v>
      </c>
      <c r="C18" s="12" t="s">
        <v>38</v>
      </c>
    </row>
    <row r="19" spans="2:21" x14ac:dyDescent="0.35">
      <c r="B19" s="10"/>
      <c r="C19" s="12" t="s">
        <v>89</v>
      </c>
    </row>
    <row r="20" spans="2:21" x14ac:dyDescent="0.35">
      <c r="B20" s="18"/>
      <c r="C20" s="12" t="s">
        <v>90</v>
      </c>
    </row>
    <row r="21" spans="2:21" x14ac:dyDescent="0.35">
      <c r="B21" s="11"/>
      <c r="C21" s="12" t="s">
        <v>88</v>
      </c>
    </row>
    <row r="23" spans="2:21" x14ac:dyDescent="0.35">
      <c r="U23" s="5" t="s">
        <v>132</v>
      </c>
    </row>
    <row r="24" spans="2:21" x14ac:dyDescent="0.35">
      <c r="F24" s="5" t="s">
        <v>40</v>
      </c>
      <c r="U24" s="5"/>
    </row>
    <row r="25" spans="2:21" x14ac:dyDescent="0.35">
      <c r="F25" s="5" t="s">
        <v>133</v>
      </c>
      <c r="U25" s="5" t="s">
        <v>39</v>
      </c>
    </row>
    <row r="26" spans="2:21" x14ac:dyDescent="0.35">
      <c r="F26" s="5"/>
      <c r="U26" s="5"/>
    </row>
    <row r="27" spans="2:21" x14ac:dyDescent="0.35">
      <c r="F27" s="5"/>
      <c r="U27" s="5"/>
    </row>
    <row r="28" spans="2:21" x14ac:dyDescent="0.35">
      <c r="F28" s="5"/>
      <c r="U28" s="5"/>
    </row>
    <row r="29" spans="2:21" x14ac:dyDescent="0.35">
      <c r="F29" s="14" t="s">
        <v>134</v>
      </c>
      <c r="U29" s="14" t="s">
        <v>136</v>
      </c>
    </row>
    <row r="30" spans="2:21" x14ac:dyDescent="0.35">
      <c r="F30" s="5" t="s">
        <v>135</v>
      </c>
      <c r="U30" s="5" t="s">
        <v>137</v>
      </c>
    </row>
  </sheetData>
  <mergeCells count="15">
    <mergeCell ref="A14:C15"/>
    <mergeCell ref="D14:D15"/>
    <mergeCell ref="E14:E15"/>
    <mergeCell ref="F15:AI15"/>
    <mergeCell ref="A1:AI1"/>
    <mergeCell ref="A6:A8"/>
    <mergeCell ref="B6:C8"/>
    <mergeCell ref="D6:E7"/>
    <mergeCell ref="F6:AI6"/>
    <mergeCell ref="F7:J7"/>
    <mergeCell ref="K7:O7"/>
    <mergeCell ref="P7:T7"/>
    <mergeCell ref="U7:Y7"/>
    <mergeCell ref="Z7:AD7"/>
    <mergeCell ref="AE7:AI7"/>
  </mergeCells>
  <pageMargins left="0.39370078740157483" right="0.19685039370078741" top="0.39370078740157483" bottom="0.19685039370078741" header="0.31496062992125984" footer="0.31496062992125984"/>
  <pageSetup paperSize="10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 6</vt:lpstr>
      <vt:lpstr>KELAS 5</vt:lpstr>
      <vt:lpstr>KELAS 4</vt:lpstr>
      <vt:lpstr>KELAS 3</vt:lpstr>
      <vt:lpstr>KELAS 2</vt:lpstr>
      <vt:lpstr>KELAS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ALFARISI 17</dc:creator>
  <cp:lastModifiedBy>ALFARISI 17</cp:lastModifiedBy>
  <cp:lastPrinted>2026-07-21T16:22:05Z</cp:lastPrinted>
  <dcterms:created xsi:type="dcterms:W3CDTF">2024-12-25T11:36:37Z</dcterms:created>
  <dcterms:modified xsi:type="dcterms:W3CDTF">2026-08-15T16:00:35Z</dcterms:modified>
</cp:coreProperties>
</file>