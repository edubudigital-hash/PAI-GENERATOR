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cb743fc08a60386/Documents/New folder/1. HBE PROTA PROMES TP RPP SMT1 26-27/"/>
    </mc:Choice>
  </mc:AlternateContent>
  <xr:revisionPtr revIDLastSave="17" documentId="13_ncr:1_{3D787565-1826-4683-9664-78D37B61DC0B}" xr6:coauthVersionLast="47" xr6:coauthVersionMax="47" xr10:uidLastSave="{B9B49DC1-514F-4E5B-BDC6-E65168BDDD52}"/>
  <bookViews>
    <workbookView xWindow="-110" yWindow="-110" windowWidth="19420" windowHeight="10300" activeTab="5" xr2:uid="{85862E7B-D893-45DA-9255-C6ED2994DC70}"/>
  </bookViews>
  <sheets>
    <sheet name="KELAS 6" sheetId="6" r:id="rId1"/>
    <sheet name="KELAS 5" sheetId="5" r:id="rId2"/>
    <sheet name="KELAS 4" sheetId="4" r:id="rId3"/>
    <sheet name="KELAS 3" sheetId="3" r:id="rId4"/>
    <sheet name="KELAS 2" sheetId="2" r:id="rId5"/>
    <sheet name="KELAS 1" sheetId="1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8" i="6" l="1"/>
  <c r="C12" i="6"/>
  <c r="C18" i="5"/>
  <c r="C12" i="5"/>
  <c r="C18" i="4"/>
  <c r="C12" i="4"/>
  <c r="C18" i="3"/>
  <c r="C12" i="3"/>
  <c r="C18" i="2" l="1"/>
  <c r="C12" i="2"/>
  <c r="C18" i="1" l="1"/>
  <c r="C12" i="1"/>
</calcChain>
</file>

<file path=xl/sharedStrings.xml><?xml version="1.0" encoding="utf-8"?>
<sst xmlns="http://schemas.openxmlformats.org/spreadsheetml/2006/main" count="504" uniqueCount="228">
  <si>
    <t>TUJUAN PEMBELAJARAN</t>
  </si>
  <si>
    <t>ALOKASI WAKTU</t>
  </si>
  <si>
    <t>BAB/MATERI PELAJARAN</t>
  </si>
  <si>
    <t>DESKRIPSI</t>
  </si>
  <si>
    <t>SEMESTER</t>
  </si>
  <si>
    <t>KODE TP</t>
  </si>
  <si>
    <t>1.1</t>
  </si>
  <si>
    <t>1.2</t>
  </si>
  <si>
    <t>1.3</t>
  </si>
  <si>
    <t>1.4</t>
  </si>
  <si>
    <t>1.5</t>
  </si>
  <si>
    <t>1.6</t>
  </si>
  <si>
    <t>I
(Ganjil)</t>
  </si>
  <si>
    <t>JUMLAH JP Semester I</t>
  </si>
  <si>
    <t>1.7</t>
  </si>
  <si>
    <t>1.8</t>
  </si>
  <si>
    <t>1.9</t>
  </si>
  <si>
    <t>1.10</t>
  </si>
  <si>
    <t>JUMLAH JP Semester II</t>
  </si>
  <si>
    <t>II
(Genap)</t>
  </si>
  <si>
    <t>PROGRAM TAHUNAN</t>
  </si>
  <si>
    <t>TAHUN PELAJARAN</t>
  </si>
  <si>
    <t>SATUAN PENDIDIKAN</t>
  </si>
  <si>
    <t>FASE/KELAS</t>
  </si>
  <si>
    <t>MATA PELAJARAN</t>
  </si>
  <si>
    <t>: PAIBP</t>
  </si>
  <si>
    <t>Guru PAIBP</t>
  </si>
  <si>
    <t>Mengetahui,</t>
  </si>
  <si>
    <t>: A / 2</t>
  </si>
  <si>
    <t>: A / 1</t>
  </si>
  <si>
    <t>2.1</t>
  </si>
  <si>
    <t>2.2</t>
  </si>
  <si>
    <t>2.3</t>
  </si>
  <si>
    <t>2.4</t>
  </si>
  <si>
    <t>2.5</t>
  </si>
  <si>
    <t>2.6</t>
  </si>
  <si>
    <t>2.7</t>
  </si>
  <si>
    <t>2.8</t>
  </si>
  <si>
    <t>2.9</t>
  </si>
  <si>
    <t>2.10</t>
  </si>
  <si>
    <t>16 Pertemuan</t>
  </si>
  <si>
    <t>: B / 3</t>
  </si>
  <si>
    <t>3.1</t>
  </si>
  <si>
    <t>3.2</t>
  </si>
  <si>
    <t>3.3</t>
  </si>
  <si>
    <t>3.4</t>
  </si>
  <si>
    <t>3.5</t>
  </si>
  <si>
    <t>3.6</t>
  </si>
  <si>
    <t>3.7</t>
  </si>
  <si>
    <t>3.8</t>
  </si>
  <si>
    <t>3.9</t>
  </si>
  <si>
    <t>3.10</t>
  </si>
  <si>
    <t>: B / 4</t>
  </si>
  <si>
    <t>4.1</t>
  </si>
  <si>
    <t>4.2</t>
  </si>
  <si>
    <t>4.3</t>
  </si>
  <si>
    <t>4.4</t>
  </si>
  <si>
    <t>4.5</t>
  </si>
  <si>
    <t>4.6</t>
  </si>
  <si>
    <t>4.7</t>
  </si>
  <si>
    <t>4.8</t>
  </si>
  <si>
    <t>4.9</t>
  </si>
  <si>
    <t>4.10</t>
  </si>
  <si>
    <t>: C / 5</t>
  </si>
  <si>
    <t>5.1</t>
  </si>
  <si>
    <t>5.2</t>
  </si>
  <si>
    <t>5.3</t>
  </si>
  <si>
    <t>5.4</t>
  </si>
  <si>
    <t>5.5</t>
  </si>
  <si>
    <t>5.6</t>
  </si>
  <si>
    <t>5.7</t>
  </si>
  <si>
    <t>5.8</t>
  </si>
  <si>
    <t>5.9</t>
  </si>
  <si>
    <t>5.10</t>
  </si>
  <si>
    <t>: C / 6</t>
  </si>
  <si>
    <t>6.1</t>
  </si>
  <si>
    <t>6.2</t>
  </si>
  <si>
    <t>6.3</t>
  </si>
  <si>
    <t>6.4</t>
  </si>
  <si>
    <t>6.5</t>
  </si>
  <si>
    <t>6.6</t>
  </si>
  <si>
    <t>6.7</t>
  </si>
  <si>
    <t>6.8</t>
  </si>
  <si>
    <t>6.9</t>
  </si>
  <si>
    <t>6.10</t>
  </si>
  <si>
    <t>: 2026/2027</t>
  </si>
  <si>
    <t>*Catatan: Jumlah JP per Pertemuan untuk Kur. Merdeka adalah 3 JP intrakurikuler, 1 JP untuk kokurikuler</t>
  </si>
  <si>
    <t>x 4 JP</t>
  </si>
  <si>
    <t>64 JP</t>
  </si>
  <si>
    <t>60 JP</t>
  </si>
  <si>
    <t>15 Pertemuan</t>
  </si>
  <si>
    <t>Peserta didik mampu mengintegrasikan penguasaan membaca huruf hijaiyyah bersambung, penerapan bacaan ghunnah, dan bacaan Surah Al-Insyirah untuk membaca Al-Qur'an dengan benar dalam kehidupan sehari-hari.</t>
  </si>
  <si>
    <t>Peserta didik mampu mengintegrasikan pemahaman tentang makna Asmaul Husna Al-Waliyy, Al-Ḥamīd, Al-'Adl, dan Aṣ-Ṣabūr ke dalam perilaku sehari-hari dengan benar.</t>
  </si>
  <si>
    <t>Peserta didik mampu mengintegrasikan nilai-nilai akhlak terhadap tetangga dan non-Muslim ke dalam perilaku sehari-hari dengan benar.</t>
  </si>
  <si>
    <t>Peserta didik mampu mengintegrasikan pemahaman tentang zakat, infak, dan sedekah ke dalam perilaku sehari-hari dengan benar.</t>
  </si>
  <si>
    <t>Peserta didik mampu mengintegrasikan nilai-nilai keteladanan Abu Bakar As-Shiddiq dan Umar bin Khattab dalam kehidupan sehari-hari dengan benar.</t>
  </si>
  <si>
    <t>Peserta didik mampu mengintegrasikan pemahaman tentang Huruf Hijaiyyah Bersambung, Bacaan Tafkhim Tarqiq, dan Hadits ke dalam pembiasaan membaca Al-Qur'an serta perilaku sehari-hari dengan benar.</t>
  </si>
  <si>
    <t>Peserta didik mampu mengintegrasikan pemahaman tentang iman kepada qada' dan qadar ke dalam perilaku sehari-hari dengan benar.</t>
  </si>
  <si>
    <t>Peserta didik mampu mengintegrasikan pemahaman tentang konsep kepedulian terhadap hewan dan lingkungan ke dalam perilaku sehari-hari dengan benar.</t>
  </si>
  <si>
    <t>Peserta didik mampu mengintegrasikan pemahaman tentang wakaf ke dalam sikap gemar berbagi dan berkontribusi bagi kemaslahatan umat dengan benar.</t>
  </si>
  <si>
    <t>Peserta didik mampu mengintegrasikan nilai-nilai keteladanan Utsman bin Affan dan Ali bin Abi Thalib ke dalam perilaku sehari-hari dengan benar.</t>
  </si>
  <si>
    <t>Huruf Hijaiyyah Bersambung (3 kata), Bacaan Ghunnah, Surah Al-Insyirah</t>
  </si>
  <si>
    <t>Asmaul Husna (Al-Waliy, Al-Hamid, Al-'Adl, As-Shabur)</t>
  </si>
  <si>
    <t>Akhlak Terhadap Tetangga dan non muslim</t>
  </si>
  <si>
    <t>Zakat, Infaq, dan Sedekah</t>
  </si>
  <si>
    <t>Kisah Keteladanan Abu Bakar As-Shiddiq dan Umar bin Khattab</t>
  </si>
  <si>
    <t>Pembelajaran 1</t>
  </si>
  <si>
    <t>Pembelajaran 2</t>
  </si>
  <si>
    <t>Pembelajaran 3</t>
  </si>
  <si>
    <t>Pembelajaran 4</t>
  </si>
  <si>
    <t>Pembelajaran 5</t>
  </si>
  <si>
    <t>Huruf Hijaiyyah Bersambung, Bacaan Tafkhim Tarqiq, Hadits tentang Berbuat Baik terhadap Teman</t>
  </si>
  <si>
    <t>Iman Kepada Qada' dan Qadar</t>
  </si>
  <si>
    <t>Akhlak terhadap Hewan dan Lingkungan</t>
  </si>
  <si>
    <t>Wakaf (Pengertian, Dasar Hukum, dan Jenis)</t>
  </si>
  <si>
    <t>Kisah Keteladanan Ustman bin Affan dan Ali bin Abi Thalib</t>
  </si>
  <si>
    <t>Pembelajaran 6</t>
  </si>
  <si>
    <t>Pembelajaran 7</t>
  </si>
  <si>
    <t>Pembelajaran 8</t>
  </si>
  <si>
    <t>Pembelajaran 9</t>
  </si>
  <si>
    <t>Pembelajaran 10</t>
  </si>
  <si>
    <t>Peserta didik mampu mengintegrasikan penguasaan membaca huruf hijaiyyah bersambung, penerapan hukum bacaan Mim Sukun, dan bacaan Surah Al-'Ashr untuk membaca Al-Qur'an dengan benar dalam kehidupan sehari-hari.</t>
  </si>
  <si>
    <t>Peserta didik mampu mengintegrasikan pemahaman tentang makna Asmaul Husna Al-Halīm, Asy-Syakūr, Al-Ḥakīm, dan Al-Wadūd ke dalam perilaku sehari-hari dengan benar.</t>
  </si>
  <si>
    <t>Peserta didik mampu mengintegrasikan pemahaman tentang berdoa dan bertawakal kepada Allah Swt. ke dalam perilaku sehari-hari dengan benar.</t>
  </si>
  <si>
    <t>Peserta didik mampu mengintegrasikan pemahaman tentang puasa wajib dan puasa sunnah ke dalam pembiasaan beribadah dan perilaku sehari-hari dengan benar.</t>
  </si>
  <si>
    <t>Peserta didik mampu mengintegrasikan nilai-nilai kepemimpinan Nabi Muhammad saw. di Madinah ke dalam perilaku sehari-hari dengan benar.</t>
  </si>
  <si>
    <t>Peserta didik mampu mengintegrasikan pemahaman tentang Huruf Hijaiyyah Bersambung, Qalqalah, dan ke dalam pembiasaan membaca Al-Qur'an dan perilaku sehari-hari dengan benar.</t>
  </si>
  <si>
    <t>Peserta didik mampu mengintegrasikan pemahaman tentang iman kepada hari akhir ke dalam perilaku sehari-hari dengan benar.</t>
  </si>
  <si>
    <t>Peserta didik mampu mengintegrasikan pemahaman sikap saling menghormati, peduli, dan bekerja sama dengan teman dalam kehidupan sehari-hari dengan benar.</t>
  </si>
  <si>
    <t>Peserta didik mampu mengintegrasikan pemahaman tentang makanan dan minuman halal serta haram ke dalam perilaku dan kebiasaan mengonsumsi makanan sesuai syariat Islam dengan benar.</t>
  </si>
  <si>
    <t>Peserta didik mampu mengintegrasikan nilai-nilai keteladanan dari peristiwa Perjanjian Hudaibiyah, Fathu Makkah, dan Haji Wada' ke dalam perilaku sehari-hari dengan benar.</t>
  </si>
  <si>
    <t>Huruf Hijaiyyah Bersambung (3 kata), Hukum Mim Sukun, Surah Al-'Ashr</t>
  </si>
  <si>
    <t>Asmaul Husna (Al-Halim, As-Syakur, Al-Hakim, Al-Wadud)</t>
  </si>
  <si>
    <t>Akhlak terhadap Allah Swt. dengan Berdoa dan Bertawakkal kepada-Nya</t>
  </si>
  <si>
    <t>Puasa Wajib dan Sunnah</t>
  </si>
  <si>
    <t>Kepemimpinan Nabi Muhammad Saw. di Madinah</t>
  </si>
  <si>
    <t>Huruf Hijaiyyah Bersambung, Qalqalah, Hadits tentang Berbuat baik kepada Orangtua dan Guru</t>
  </si>
  <si>
    <t>Iman Kepada Hari Akhir</t>
  </si>
  <si>
    <t>Akhlak terhadap Teman</t>
  </si>
  <si>
    <t>Makanan Minuman yang Halal dan Haram</t>
  </si>
  <si>
    <t>Perjanjian Hudaibiyah, Fathu Makkah, dan Haji Wada'</t>
  </si>
  <si>
    <t>Peserta didik mampu mengintegrasikan penguasaan membaca huruf hijaiyyah bersambung, penerapan hukum bacaan Idgham Bighunnah dan Bilaghunnah, serta bacaan Surah An-Nashr untuk membaca Al-Qur'an dengan benar dalam kehidupan sehari-hari.</t>
  </si>
  <si>
    <t>Peserta didik mampu mengintegrasikan pemahaman tentang makna Asmaul Husna Al-Ghaffār, Al-Wahhāb, Al-Fattāḥ, dan Al-Laṭīf ke dalam perilaku sehari-hari dengan benar.</t>
  </si>
  <si>
    <t>Peserta didik mampu mengintegrasikan nilai-nilai akhlak terhadap keluarga ke dalam perilaku sehari-hari dengan benar.</t>
  </si>
  <si>
    <t>Peserta didik mampu mengintegrasikan pemahaman tentang shalat sunnah Rawatib, Dhuha, dan Tahajud ke dalam pembiasaan beribadah dan perilaku sehari-hari dengan benar.</t>
  </si>
  <si>
    <t>Peserta didik mampu mengintegrasikan nilai-nilai keteladanan dari kerasulan dan dakwah Nabi Muhammad saw. pada periode Makkah ke dalam perilaku sehari-hari dengan benar.</t>
  </si>
  <si>
    <t>Peserta didik mampu mengintegrasikan pemahaman tentang Huruf Hijaiyyah Bersambung, Iqlab dan Ikhfa', dan Hadits ke dalam pembiasaan membaca Al-Qur’an dan perilaku sehari-hari dengan benar.</t>
  </si>
  <si>
    <t>Peserta didik mampu mengintegrasikan pemahaman tentang iman kepada rasul-rasul Allah Swt. ke dalam perilaku sehari-hari dengan benar.</t>
  </si>
  <si>
    <t>Peserta didik mampu mengintegrasikan pemahaman sikap hormat, santun, dan menghargai guru ke dalam perilaku sehari-hari dengan benar.</t>
  </si>
  <si>
    <t>Peserta didik mampu mengintegrasikan pemahaman tentang konsep baligh dan tanggung jawab sebagai mukalaf ke dalam perilaku sehari-hari dengan benar.</t>
  </si>
  <si>
    <t>Peserta didik mampu mengintegrasikan nilai-nilai kisah hijrah Nabi Muhammad saw. ke Madinah dalam kehidupan sehari-hari dengan benar.</t>
  </si>
  <si>
    <t>Huruf Hijaiyyah Bersambung (3 kata), Idgham Bighunnah-Bilaghunnah, Surah An-Nashr</t>
  </si>
  <si>
    <t>Asmaul Husna (Al-Ghaffar, Al-Wahhab, Al-Fattah, Al-Latif)</t>
  </si>
  <si>
    <t>Akhlak terhadap Keluarga</t>
  </si>
  <si>
    <t>Shalat Sunnah Rawatib, Dhuha, dan Tahajjud</t>
  </si>
  <si>
    <t>Kerasulan dan Dakwah Nabi Muhammad Saw. Periode Makkah</t>
  </si>
  <si>
    <t>Huruf Hijaiyyah Bersambung, Iqlab dan Ikhfa', Hadits tentang Menjaga Hubungan baik terhadap sesama</t>
  </si>
  <si>
    <t>Iman Kepada Rasul-rasul Allah Swt.</t>
  </si>
  <si>
    <t>Akhlak terhadap Guru</t>
  </si>
  <si>
    <t>Baligh dan Tanggungjawab yang menyertainya (Taklif)</t>
  </si>
  <si>
    <t>Hijrah Nabi Muhammad Saw.</t>
  </si>
  <si>
    <t>Peserta didik mampu mengintegrasikan penguasaan membaca huruf hijaiyyah bersambung, penerapan hukum bacaan mad thabi’i, dan bacaan Surah Al-Kautsar untuk membaca Al-Qur'an dengan benar dalam kehidupan sehari-hari.</t>
  </si>
  <si>
    <t>Peserta didik mampu mengintegrasikan pemahaman tentang sifat-sifat Allah Swt. ke dalam perilaku sehari-hari dengan benar.</t>
  </si>
  <si>
    <t>Peserta didik mampu mengintegrasikan pemahaman tentang akhlak berbaik sangka kepada Allah Swt. ke dalam perilaku sehari-hari dengan benar.</t>
  </si>
  <si>
    <t>Peserta didik mampu mengintegrasikan pemahaman tentang adzan dan iqamah ke dalam pelaksanaan ibadah dan perilaku sehari-hari dengan benar.</t>
  </si>
  <si>
    <t>Peserta didik mampu mengintegrasikan nilai-nilai keteladanan dari peristiwa kelahiran dan masa kanak-kanak Nabi Muhammad saw. ke dalam perilaku sehari-hari dengan benar.</t>
  </si>
  <si>
    <t>Peserta didik mampu mengintegrasikan pemahaman tentang Huruf Hijaiyyah Bersambung, Idhar Halqi, dan Hadits ke dalam perilaku sehari-hari dan pembiasaan membaca Al-Qur’an dengan benar.</t>
  </si>
  <si>
    <t>Peserta didik mampu mengintegrasikan pemahaman tentang iman kepada kitab-kitab Allah Swt. ke dalam perilaku sehari-hari dengan benar.</t>
  </si>
  <si>
    <t>Peserta didik mampu mengintegrasikan pemahaman sikap hormat, patuh, dan berbakti kepada orang tua dalam kehidupan sehari-hari dengan benar.</t>
  </si>
  <si>
    <t>Peserta didik mampu mengintegrasikan pemahaman dan praktik shalat Jum'at sesuai syariat Islam ke dalam pembiasaan beribadah dan perilaku sehari-hari dengan benar.</t>
  </si>
  <si>
    <t>Peserta didik mampu mengintegrasikan nilai-nilai keteladanan Nabi Muhammad saw. pada masa remaja dan pernikahan ke dalam pembentukan karakter mulia dan perilaku sehari-hari dengan benar.</t>
  </si>
  <si>
    <t>Huruf Hijaiyyah Bersambung (3 kata), Mad Thabi'i, Surah Al-Kautsar</t>
  </si>
  <si>
    <t>Sifat-sifat Allah Swt.</t>
  </si>
  <si>
    <t>Akhlak terhadap Allah Swt. dengan Berbaik Sangka Kepada-Nya</t>
  </si>
  <si>
    <t>Adzan dan Iqamah</t>
  </si>
  <si>
    <t>Kelahiran dan Masa Kanak-kanak Nabi Muhammad Saw.</t>
  </si>
  <si>
    <t>Huruf Hijaiyyah Bersambung, Idhar Halqi, Hadits tentang Kewajiban Shalat</t>
  </si>
  <si>
    <t>Iman Kepada Kitab-kitab Allah Swt.</t>
  </si>
  <si>
    <t>Akhlak terhadap Orang Tua</t>
  </si>
  <si>
    <t>Ketentuan dan Praktik Shalat Jum'at</t>
  </si>
  <si>
    <t>Masa Remaja dan Pernikahan Nabi Muhammad Saw.</t>
  </si>
  <si>
    <t>Peserta didik mampu mengintegrasikan penguasaan membaca huruf hijaiyyah bersambung, bacaan Surah An-Naas dan Surah Al-Falaq untuk membaca Al-Qur’an dengan benar dalam kehidupan sehari-hari.</t>
  </si>
  <si>
    <t>Peserta didik mampu mengintegrasikan pemahaman tentang makna Asmaul Husna Ar-Rahman, Ar-Rahim, As-Salam, dan Al-Mukmin ke dalam perilaku sehari-hari dengan benar.</t>
  </si>
  <si>
    <t>Peserta didik mampu mengintegrasikan pemahaman tentang pola hidup bersih dan sehat ke dalam perilaku sehari-hari dengan benar.</t>
  </si>
  <si>
    <t>Peserta didik mampu mengintegrasikan pemahaman tentang shalat fardu ke dalam pelaksanaan ibadah dan perilaku sehari-hari dengan benar.</t>
  </si>
  <si>
    <t>Peserta didik mampu mengintegrasikan nilai-nilai keteladanan Nabi Nuh a.s ke dalam perilaku sehari-hari dengan benar.</t>
  </si>
  <si>
    <t>Peserta didik mampu mengintegrasikan pemahaman tentang huruf hijaiyyah bersambung, Surah Al-Ikhlas dan Hadits ke dalam kebiasaan ibadah dan perilaku sehari-hari dengan benar.</t>
  </si>
  <si>
    <t>Peserta didik mampu mengintegrasikan pemahaman tentang iman kepada malaikat Allah ke dalam perilaku sehari-hari dengan benar.</t>
  </si>
  <si>
    <t>Peserta didik mampu mengintegrasikan kebiasaan berdoa dalam setiap aktivitas sehari-hari dengan benar sebagai wujud ketergantungan kepada Allah Swt.</t>
  </si>
  <si>
    <t>Peserta didik mampu mengintegrasikan pemahaman tentang zikir dan doa setelah shalat ke dalam pembiasaan ibadah dan perilaku sehari-hari dengan benar.</t>
  </si>
  <si>
    <t>Peserta didik mampu mengintegrasikan nilai-nilai keteladanan Nabi Ibrahim a.s. ke dalam perilaku sehari-hari dengan benar.</t>
  </si>
  <si>
    <t>Huruf Hijaiyyah Bersambung (3 huruf), Surah An-Naas, Surah Al-Falaq</t>
  </si>
  <si>
    <t>Asmaul Husna: Ar-Rahman, Ar-Rahim, As-Salam, Al-Mukmin</t>
  </si>
  <si>
    <t>Akhlak terhadap Diri Sendiri (Pola Hidup Bersih dan Sehat)</t>
  </si>
  <si>
    <t>Shalat Fardhu</t>
  </si>
  <si>
    <t>Kisah Keteladanan Nabi Nuh as.</t>
  </si>
  <si>
    <t>Huruf Hijaiyyah Bersambung, Surah al-Ikhlas, Hadits tentang kebersihan</t>
  </si>
  <si>
    <t>Iman Kepada Malaikat Allah</t>
  </si>
  <si>
    <t>Akhlak terhadap Diri Sendiri (Terbiasa Berdoa)</t>
  </si>
  <si>
    <t>Dzikir dan Berdoa setelah Shalat</t>
  </si>
  <si>
    <t>Kisah Keteladanan Nabi Ibrahim as.</t>
  </si>
  <si>
    <t>Peserta didik mampu mengintegrasikan pemahaman tentang makharijul huruf dan huruf hijaiyyah berharakat untuk membaca huruf dan kata dalam Al-Qur'an dengan benar dalam kehidupan sehari-hari.</t>
  </si>
  <si>
    <t>Peserta didik mampu mengintegrasikan pemahaman tentang rukun iman ke dalam perilaku sehari-hari dengan benar.</t>
  </si>
  <si>
    <t>Peserta didik mampu mengintegrasikan pemahaman tentang akhlak terhadap Allah Swt. melalui sikap menyucikan-Nya (tasbih) ke dalam perilaku sehari-hari dengan benar.</t>
  </si>
  <si>
    <t>Peserta didik mampu mengintegrasikan pemahaman tentang rukun Islam dan syahadatain sebagai landasan dalam beribadah dan berperilaku dalam kehidupan sehari-hari dengan benar.</t>
  </si>
  <si>
    <t>Peserta didik mampu mengintegrasikan nilai-nilai keteladanan Nabi Adam a.s. ke dalam perilaku sehari-hari dengan benar.</t>
  </si>
  <si>
    <t>Peserta didik mampu mengintegrasikan pemahaman tentang huruf hijaiyyah bersambung dan Surah Al-Fatihah sesuai kaidah bacaan Al-Qur'an yang benar dalam kehidupan sehari-hari.</t>
  </si>
  <si>
    <t>Peserta didik mampu mengintegrasikan pemahaman tentang iman kepada Allah Swt. ke dalam perilaku sehari-hari dengan benar.</t>
  </si>
  <si>
    <t>Peserta didik mampu mengintegrasikan sikap memuji Allah Swt. ke dalam perilaku sehari-hari sebagai bentuk syukur dan penghambaan kepada-Nya dengan benar.</t>
  </si>
  <si>
    <t>Peserta didik mampu mengintegrasikan pemahaman dan praktik bersuci sesuai syariat Islam ke dalam pembiasaan menjaga kesucian sebelum beribadah sehari-hari dengan benar.</t>
  </si>
  <si>
    <t>Peserta didik mampu mengintegrasikan nilai-nilai keteladanan Nabi Idris a.s. ke dalam perilaku sehari-hari dengan benar.</t>
  </si>
  <si>
    <t>Huruf Hijaiyyah (Makharijul Huruf), Huruf Hijaiyyah Berharakat</t>
  </si>
  <si>
    <t>Rukun Iman</t>
  </si>
  <si>
    <t>Akhlak terhadap Allah Swt. dengan Menyucikan-Nya</t>
  </si>
  <si>
    <t>Rukun Islam dan Syahadatain</t>
  </si>
  <si>
    <t>Kisah Keteladanan Nabi Adam as.</t>
  </si>
  <si>
    <t>Huruf Hijaiyyah Bersambung, Surah Al-Fatihah</t>
  </si>
  <si>
    <t>Iman Kepada Allah Swt.</t>
  </si>
  <si>
    <t>Akhlak terhadap Allah Swt. dengan Memuji-Nya</t>
  </si>
  <si>
    <t>Tata Cara Bersuci (Wudu, Tayamum, dan Istinja')</t>
  </si>
  <si>
    <t>Kisah Keteladanan Nabi Idris as.</t>
  </si>
  <si>
    <t>: &lt;Nama Sekolah&gt;</t>
  </si>
  <si>
    <t>&lt;Desa&gt;, 13 Juli 2026</t>
  </si>
  <si>
    <t>&lt;Nama Guru&gt;</t>
  </si>
  <si>
    <t>NIP. &lt;NIP Guru&gt;</t>
  </si>
  <si>
    <t>Kepala &lt;Nama Sekolah&gt;</t>
  </si>
  <si>
    <t>&lt;Nama KS&gt;</t>
  </si>
  <si>
    <t>NIP. &lt;NIP KS&gt;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</si>
</sst>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0"/>
      <color theme="1"/>
      <name val="Times New Roman"/>
      <family val="1"/>
    </font>
    <font>
      <sz val="8"/>
      <name val="Calibri"/>
      <family val="2"/>
      <scheme val="minor"/>
    </font>
    <font>
      <sz val="10"/>
      <color theme="1"/>
      <name val="Times New Roman"/>
      <family val="1"/>
    </font>
    <font>
      <b/>
      <sz val="12"/>
      <color theme="1"/>
      <name val="Times New Roman"/>
      <family val="1"/>
    </font>
    <font>
      <b/>
      <i/>
      <sz val="10"/>
      <color theme="1"/>
      <name val="Times New Roman"/>
      <family val="1"/>
    </font>
    <font>
      <b/>
      <u/>
      <sz val="11"/>
      <color theme="1"/>
      <name val="Times New Roman"/>
      <family val="1"/>
    </font>
    <font>
      <b/>
      <i/>
      <sz val="11"/>
      <color rgb="FFFF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5" fillId="0" borderId="3" xfId="0" applyFont="1" applyBorder="1" applyAlignment="1">
      <alignment vertical="center" wrapText="1"/>
    </xf>
    <xf numFmtId="0" fontId="2" fillId="2" borderId="3" xfId="0" applyFont="1" applyFill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2" fillId="2" borderId="5" xfId="0" applyFont="1" applyFill="1" applyBorder="1" applyAlignment="1">
      <alignment vertical="center"/>
    </xf>
    <xf numFmtId="0" fontId="5" fillId="0" borderId="7" xfId="0" applyFont="1" applyBorder="1" applyAlignment="1">
      <alignment vertical="center" wrapText="1"/>
    </xf>
    <xf numFmtId="0" fontId="9" fillId="0" borderId="0" xfId="0" applyFont="1" applyAlignment="1">
      <alignment vertical="center"/>
    </xf>
    <xf numFmtId="0" fontId="1" fillId="0" borderId="3" xfId="0" applyFont="1" applyBorder="1" applyAlignment="1">
      <alignment horizontal="left" vertical="center" wrapText="1"/>
    </xf>
    <xf numFmtId="0" fontId="2" fillId="2" borderId="1" xfId="0" applyFont="1" applyFill="1" applyBorder="1" applyAlignment="1">
      <alignment vertical="center"/>
    </xf>
    <xf numFmtId="0" fontId="5" fillId="0" borderId="3" xfId="0" applyFont="1" applyBorder="1" applyAlignment="1">
      <alignment horizontal="left" vertical="center" wrapText="1"/>
    </xf>
    <xf numFmtId="0" fontId="1" fillId="0" borderId="3" xfId="0" applyFont="1" applyBorder="1" applyAlignment="1">
      <alignment vertical="center" wrapText="1"/>
    </xf>
    <xf numFmtId="0" fontId="1" fillId="0" borderId="7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10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2" fillId="2" borderId="10" xfId="0" applyFont="1" applyFill="1" applyBorder="1" applyAlignment="1">
      <alignment vertical="center"/>
    </xf>
    <xf numFmtId="0" fontId="2" fillId="2" borderId="6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3" fillId="2" borderId="4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E5E6A-13D3-4207-8372-A457E01596E2}">
  <sheetPr>
    <pageSetUpPr fitToPage="1"/>
  </sheetPr>
  <dimension ref="A1:H29"/>
  <sheetViews>
    <sheetView workbookViewId="0">
      <selection activeCell="C2" sqref="C2"/>
    </sheetView>
  </sheetViews>
  <sheetFormatPr defaultRowHeight="14" x14ac:dyDescent="0.35"/>
  <cols>
    <col min="1" max="1" width="6.81640625" style="1" customWidth="1"/>
    <col min="2" max="2" width="46.453125" style="1" customWidth="1"/>
    <col min="3" max="3" width="3.26953125" style="1" customWidth="1"/>
    <col min="4" max="4" width="6.453125" style="1" customWidth="1"/>
    <col min="5" max="5" width="22" style="1" customWidth="1"/>
    <col min="6" max="6" width="16" style="1" customWidth="1"/>
    <col min="7" max="7" width="10.26953125" style="1" customWidth="1"/>
    <col min="8" max="16384" width="8.7265625" style="1"/>
  </cols>
  <sheetData>
    <row r="1" spans="1:8" ht="15" x14ac:dyDescent="0.35">
      <c r="A1" s="35" t="s">
        <v>20</v>
      </c>
      <c r="B1" s="35"/>
      <c r="C1" s="35"/>
      <c r="D1" s="35"/>
      <c r="E1" s="35"/>
      <c r="F1" s="35"/>
      <c r="G1" s="35"/>
    </row>
    <row r="2" spans="1:8" x14ac:dyDescent="0.35">
      <c r="H2" s="20"/>
    </row>
    <row r="3" spans="1:8" x14ac:dyDescent="0.35">
      <c r="B3" s="2" t="s">
        <v>22</v>
      </c>
      <c r="C3" s="2" t="s">
        <v>221</v>
      </c>
      <c r="D3" s="2"/>
      <c r="E3" s="2"/>
      <c r="F3" s="2" t="s">
        <v>23</v>
      </c>
      <c r="G3" s="2" t="s">
        <v>74</v>
      </c>
    </row>
    <row r="4" spans="1:8" x14ac:dyDescent="0.35">
      <c r="B4" s="2" t="s">
        <v>21</v>
      </c>
      <c r="C4" s="2" t="s">
        <v>85</v>
      </c>
      <c r="D4" s="2"/>
      <c r="E4" s="2"/>
      <c r="F4" s="2" t="s">
        <v>24</v>
      </c>
      <c r="G4" s="2" t="s">
        <v>25</v>
      </c>
    </row>
    <row r="6" spans="1:8" ht="29.5" customHeight="1" x14ac:dyDescent="0.35">
      <c r="A6" s="4" t="s">
        <v>5</v>
      </c>
      <c r="B6" s="5" t="s">
        <v>0</v>
      </c>
      <c r="C6" s="36" t="s">
        <v>1</v>
      </c>
      <c r="D6" s="36"/>
      <c r="E6" s="6" t="s">
        <v>2</v>
      </c>
      <c r="F6" s="5" t="s">
        <v>3</v>
      </c>
      <c r="G6" s="7" t="s">
        <v>4</v>
      </c>
      <c r="H6" s="3"/>
    </row>
    <row r="7" spans="1:8" ht="70" customHeight="1" x14ac:dyDescent="0.35">
      <c r="A7" s="8" t="s">
        <v>75</v>
      </c>
      <c r="B7" s="21" t="s">
        <v>91</v>
      </c>
      <c r="C7" s="12">
        <v>4</v>
      </c>
      <c r="D7" s="13" t="s">
        <v>87</v>
      </c>
      <c r="E7" s="24" t="s">
        <v>101</v>
      </c>
      <c r="F7" s="27" t="s">
        <v>106</v>
      </c>
      <c r="G7" s="37" t="s">
        <v>12</v>
      </c>
    </row>
    <row r="8" spans="1:8" ht="70" customHeight="1" x14ac:dyDescent="0.35">
      <c r="A8" s="8" t="s">
        <v>76</v>
      </c>
      <c r="B8" s="21" t="s">
        <v>92</v>
      </c>
      <c r="C8" s="12">
        <v>3</v>
      </c>
      <c r="D8" s="13" t="s">
        <v>87</v>
      </c>
      <c r="E8" s="24" t="s">
        <v>102</v>
      </c>
      <c r="F8" s="27" t="s">
        <v>107</v>
      </c>
      <c r="G8" s="38"/>
    </row>
    <row r="9" spans="1:8" ht="70" customHeight="1" x14ac:dyDescent="0.35">
      <c r="A9" s="8" t="s">
        <v>77</v>
      </c>
      <c r="B9" s="21" t="s">
        <v>93</v>
      </c>
      <c r="C9" s="12">
        <v>2</v>
      </c>
      <c r="D9" s="13" t="s">
        <v>87</v>
      </c>
      <c r="E9" s="24" t="s">
        <v>103</v>
      </c>
      <c r="F9" s="27" t="s">
        <v>108</v>
      </c>
      <c r="G9" s="38"/>
    </row>
    <row r="10" spans="1:8" ht="70" customHeight="1" x14ac:dyDescent="0.35">
      <c r="A10" s="8" t="s">
        <v>78</v>
      </c>
      <c r="B10" s="21" t="s">
        <v>94</v>
      </c>
      <c r="C10" s="12">
        <v>4</v>
      </c>
      <c r="D10" s="13" t="s">
        <v>87</v>
      </c>
      <c r="E10" s="24" t="s">
        <v>104</v>
      </c>
      <c r="F10" s="27" t="s">
        <v>109</v>
      </c>
      <c r="G10" s="38"/>
    </row>
    <row r="11" spans="1:8" ht="70" customHeight="1" x14ac:dyDescent="0.35">
      <c r="A11" s="8" t="s">
        <v>79</v>
      </c>
      <c r="B11" s="21" t="s">
        <v>95</v>
      </c>
      <c r="C11" s="12">
        <v>3</v>
      </c>
      <c r="D11" s="13" t="s">
        <v>87</v>
      </c>
      <c r="E11" s="24" t="s">
        <v>105</v>
      </c>
      <c r="F11" s="27" t="s">
        <v>110</v>
      </c>
      <c r="G11" s="38"/>
    </row>
    <row r="12" spans="1:8" x14ac:dyDescent="0.35">
      <c r="A12" s="34" t="s">
        <v>13</v>
      </c>
      <c r="B12" s="34"/>
      <c r="C12" s="14">
        <f>SUM(C7:C11)</f>
        <v>16</v>
      </c>
      <c r="D12" s="18" t="s">
        <v>87</v>
      </c>
      <c r="E12" s="9" t="s">
        <v>88</v>
      </c>
      <c r="F12" s="11" t="s">
        <v>40</v>
      </c>
      <c r="G12" s="15"/>
    </row>
    <row r="13" spans="1:8" ht="70" customHeight="1" x14ac:dyDescent="0.35">
      <c r="A13" s="8" t="s">
        <v>80</v>
      </c>
      <c r="B13" s="21" t="s">
        <v>96</v>
      </c>
      <c r="C13" s="12">
        <v>4</v>
      </c>
      <c r="D13" s="13" t="s">
        <v>87</v>
      </c>
      <c r="E13" s="19" t="s">
        <v>111</v>
      </c>
      <c r="F13" s="28" t="s">
        <v>116</v>
      </c>
      <c r="G13" s="39" t="s">
        <v>19</v>
      </c>
    </row>
    <row r="14" spans="1:8" ht="70" customHeight="1" x14ac:dyDescent="0.35">
      <c r="A14" s="8" t="s">
        <v>81</v>
      </c>
      <c r="B14" s="21" t="s">
        <v>97</v>
      </c>
      <c r="C14" s="12">
        <v>3</v>
      </c>
      <c r="D14" s="13" t="s">
        <v>87</v>
      </c>
      <c r="E14" s="24" t="s">
        <v>112</v>
      </c>
      <c r="F14" s="28" t="s">
        <v>117</v>
      </c>
      <c r="G14" s="40"/>
    </row>
    <row r="15" spans="1:8" ht="70" customHeight="1" x14ac:dyDescent="0.35">
      <c r="A15" s="8" t="s">
        <v>82</v>
      </c>
      <c r="B15" s="21" t="s">
        <v>98</v>
      </c>
      <c r="C15" s="12">
        <v>2</v>
      </c>
      <c r="D15" s="13" t="s">
        <v>87</v>
      </c>
      <c r="E15" s="24" t="s">
        <v>113</v>
      </c>
      <c r="F15" s="28" t="s">
        <v>118</v>
      </c>
      <c r="G15" s="40"/>
    </row>
    <row r="16" spans="1:8" ht="70" customHeight="1" x14ac:dyDescent="0.35">
      <c r="A16" s="8" t="s">
        <v>83</v>
      </c>
      <c r="B16" s="21" t="s">
        <v>99</v>
      </c>
      <c r="C16" s="12">
        <v>4</v>
      </c>
      <c r="D16" s="13" t="s">
        <v>87</v>
      </c>
      <c r="E16" s="24" t="s">
        <v>114</v>
      </c>
      <c r="F16" s="28" t="s">
        <v>119</v>
      </c>
      <c r="G16" s="40"/>
    </row>
    <row r="17" spans="1:7" ht="70" customHeight="1" x14ac:dyDescent="0.35">
      <c r="A17" s="8" t="s">
        <v>84</v>
      </c>
      <c r="B17" s="21" t="s">
        <v>100</v>
      </c>
      <c r="C17" s="12">
        <v>3</v>
      </c>
      <c r="D17" s="13" t="s">
        <v>87</v>
      </c>
      <c r="E17" s="26" t="s">
        <v>115</v>
      </c>
      <c r="F17" s="28" t="s">
        <v>120</v>
      </c>
      <c r="G17" s="41"/>
    </row>
    <row r="18" spans="1:7" x14ac:dyDescent="0.35">
      <c r="A18" s="34" t="s">
        <v>18</v>
      </c>
      <c r="B18" s="34"/>
      <c r="C18" s="14">
        <f>SUM(C13:C17)</f>
        <v>16</v>
      </c>
      <c r="D18" s="18" t="s">
        <v>87</v>
      </c>
      <c r="E18" s="9" t="s">
        <v>88</v>
      </c>
      <c r="F18" s="11" t="s">
        <v>40</v>
      </c>
      <c r="G18" s="15"/>
    </row>
    <row r="20" spans="1:7" x14ac:dyDescent="0.35">
      <c r="A20" s="16" t="s">
        <v>86</v>
      </c>
    </row>
    <row r="22" spans="1:7" x14ac:dyDescent="0.35">
      <c r="F22" s="3" t="s">
        <v>222</v>
      </c>
    </row>
    <row r="23" spans="1:7" x14ac:dyDescent="0.35">
      <c r="B23" s="3" t="s">
        <v>27</v>
      </c>
    </row>
    <row r="24" spans="1:7" x14ac:dyDescent="0.35">
      <c r="B24" s="3" t="s">
        <v>225</v>
      </c>
      <c r="F24" s="3" t="s">
        <v>26</v>
      </c>
    </row>
    <row r="25" spans="1:7" x14ac:dyDescent="0.35">
      <c r="B25" s="3"/>
    </row>
    <row r="26" spans="1:7" x14ac:dyDescent="0.35">
      <c r="B26" s="3"/>
    </row>
    <row r="27" spans="1:7" x14ac:dyDescent="0.35">
      <c r="B27" s="3"/>
    </row>
    <row r="28" spans="1:7" x14ac:dyDescent="0.35">
      <c r="B28" s="17" t="s">
        <v>226</v>
      </c>
      <c r="F28" s="17" t="s">
        <v>223</v>
      </c>
    </row>
    <row r="29" spans="1:7" x14ac:dyDescent="0.35">
      <c r="B29" s="3" t="s">
        <v>227</v>
      </c>
      <c r="F29" s="3" t="s">
        <v>224</v>
      </c>
    </row>
  </sheetData>
  <mergeCells count="6">
    <mergeCell ref="A18:B18"/>
    <mergeCell ref="A1:G1"/>
    <mergeCell ref="C6:D6"/>
    <mergeCell ref="G7:G11"/>
    <mergeCell ref="A12:B12"/>
    <mergeCell ref="G13:G17"/>
  </mergeCells>
  <phoneticPr fontId="4" type="noConversion"/>
  <pageMargins left="0.39370078740157483" right="0.19685039370078741" top="0.39370078740157483" bottom="0.19685039370078741" header="0.31496062992125984" footer="0.31496062992125984"/>
  <pageSetup paperSize="10000" scale="91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23A16-BA35-4AD2-93B7-D73AB7186A0C}">
  <sheetPr>
    <pageSetUpPr fitToPage="1"/>
  </sheetPr>
  <dimension ref="A1:H29"/>
  <sheetViews>
    <sheetView workbookViewId="0">
      <selection activeCell="C2" sqref="C2"/>
    </sheetView>
  </sheetViews>
  <sheetFormatPr defaultRowHeight="14" x14ac:dyDescent="0.35"/>
  <cols>
    <col min="1" max="1" width="6.81640625" style="1" customWidth="1"/>
    <col min="2" max="2" width="46.453125" style="1" customWidth="1"/>
    <col min="3" max="3" width="3.26953125" style="1" customWidth="1"/>
    <col min="4" max="4" width="6.453125" style="1" customWidth="1"/>
    <col min="5" max="5" width="22" style="1" customWidth="1"/>
    <col min="6" max="6" width="16" style="1" customWidth="1"/>
    <col min="7" max="7" width="10.26953125" style="1" customWidth="1"/>
    <col min="8" max="16384" width="8.7265625" style="1"/>
  </cols>
  <sheetData>
    <row r="1" spans="1:8" ht="15" x14ac:dyDescent="0.35">
      <c r="A1" s="35" t="s">
        <v>20</v>
      </c>
      <c r="B1" s="35"/>
      <c r="C1" s="35"/>
      <c r="D1" s="35"/>
      <c r="E1" s="35"/>
      <c r="F1" s="35"/>
      <c r="G1" s="35"/>
    </row>
    <row r="3" spans="1:8" x14ac:dyDescent="0.35">
      <c r="B3" s="2" t="s">
        <v>22</v>
      </c>
      <c r="C3" s="2" t="s">
        <v>221</v>
      </c>
      <c r="D3" s="2"/>
      <c r="E3" s="2"/>
      <c r="F3" s="2" t="s">
        <v>23</v>
      </c>
      <c r="G3" s="2" t="s">
        <v>63</v>
      </c>
    </row>
    <row r="4" spans="1:8" x14ac:dyDescent="0.35">
      <c r="B4" s="2" t="s">
        <v>21</v>
      </c>
      <c r="C4" s="2" t="s">
        <v>85</v>
      </c>
      <c r="D4" s="2"/>
      <c r="E4" s="2"/>
      <c r="F4" s="2" t="s">
        <v>24</v>
      </c>
      <c r="G4" s="2" t="s">
        <v>25</v>
      </c>
    </row>
    <row r="6" spans="1:8" ht="29.5" customHeight="1" x14ac:dyDescent="0.35">
      <c r="A6" s="4" t="s">
        <v>5</v>
      </c>
      <c r="B6" s="5" t="s">
        <v>0</v>
      </c>
      <c r="C6" s="36" t="s">
        <v>1</v>
      </c>
      <c r="D6" s="36"/>
      <c r="E6" s="6" t="s">
        <v>2</v>
      </c>
      <c r="F6" s="5" t="s">
        <v>3</v>
      </c>
      <c r="G6" s="7" t="s">
        <v>4</v>
      </c>
      <c r="H6" s="3"/>
    </row>
    <row r="7" spans="1:8" ht="70" customHeight="1" x14ac:dyDescent="0.35">
      <c r="A7" s="8" t="s">
        <v>64</v>
      </c>
      <c r="B7" s="23" t="s">
        <v>121</v>
      </c>
      <c r="C7" s="12">
        <v>4</v>
      </c>
      <c r="D7" s="13" t="s">
        <v>87</v>
      </c>
      <c r="E7" s="24" t="s">
        <v>131</v>
      </c>
      <c r="F7" s="27" t="s">
        <v>106</v>
      </c>
      <c r="G7" s="37" t="s">
        <v>12</v>
      </c>
    </row>
    <row r="8" spans="1:8" ht="70" customHeight="1" x14ac:dyDescent="0.35">
      <c r="A8" s="8" t="s">
        <v>65</v>
      </c>
      <c r="B8" s="21" t="s">
        <v>122</v>
      </c>
      <c r="C8" s="12">
        <v>2</v>
      </c>
      <c r="D8" s="13" t="s">
        <v>87</v>
      </c>
      <c r="E8" s="24" t="s">
        <v>132</v>
      </c>
      <c r="F8" s="27" t="s">
        <v>107</v>
      </c>
      <c r="G8" s="38"/>
    </row>
    <row r="9" spans="1:8" ht="70" customHeight="1" x14ac:dyDescent="0.35">
      <c r="A9" s="8" t="s">
        <v>66</v>
      </c>
      <c r="B9" s="21" t="s">
        <v>123</v>
      </c>
      <c r="C9" s="12">
        <v>2</v>
      </c>
      <c r="D9" s="13" t="s">
        <v>87</v>
      </c>
      <c r="E9" s="24" t="s">
        <v>133</v>
      </c>
      <c r="F9" s="27" t="s">
        <v>108</v>
      </c>
      <c r="G9" s="38"/>
    </row>
    <row r="10" spans="1:8" ht="70" customHeight="1" x14ac:dyDescent="0.35">
      <c r="A10" s="8" t="s">
        <v>67</v>
      </c>
      <c r="B10" s="21" t="s">
        <v>124</v>
      </c>
      <c r="C10" s="12">
        <v>4</v>
      </c>
      <c r="D10" s="13" t="s">
        <v>87</v>
      </c>
      <c r="E10" s="24" t="s">
        <v>134</v>
      </c>
      <c r="F10" s="27" t="s">
        <v>109</v>
      </c>
      <c r="G10" s="38"/>
    </row>
    <row r="11" spans="1:8" ht="70" customHeight="1" x14ac:dyDescent="0.35">
      <c r="A11" s="8" t="s">
        <v>68</v>
      </c>
      <c r="B11" s="21" t="s">
        <v>125</v>
      </c>
      <c r="C11" s="12">
        <v>3</v>
      </c>
      <c r="D11" s="13" t="s">
        <v>87</v>
      </c>
      <c r="E11" s="24" t="s">
        <v>135</v>
      </c>
      <c r="F11" s="27" t="s">
        <v>110</v>
      </c>
      <c r="G11" s="38"/>
    </row>
    <row r="12" spans="1:8" x14ac:dyDescent="0.35">
      <c r="A12" s="34" t="s">
        <v>13</v>
      </c>
      <c r="B12" s="42"/>
      <c r="C12" s="14">
        <f>SUM(C7:C11)</f>
        <v>15</v>
      </c>
      <c r="D12" s="18" t="s">
        <v>87</v>
      </c>
      <c r="E12" s="9" t="s">
        <v>89</v>
      </c>
      <c r="F12" s="11" t="s">
        <v>90</v>
      </c>
      <c r="G12" s="15"/>
    </row>
    <row r="13" spans="1:8" ht="70" customHeight="1" x14ac:dyDescent="0.35">
      <c r="A13" s="8" t="s">
        <v>69</v>
      </c>
      <c r="B13" s="21" t="s">
        <v>126</v>
      </c>
      <c r="C13" s="12">
        <v>4</v>
      </c>
      <c r="D13" s="13" t="s">
        <v>87</v>
      </c>
      <c r="E13" s="10" t="s">
        <v>136</v>
      </c>
      <c r="F13" s="27" t="s">
        <v>116</v>
      </c>
      <c r="G13" s="39" t="s">
        <v>19</v>
      </c>
    </row>
    <row r="14" spans="1:8" ht="70" customHeight="1" x14ac:dyDescent="0.35">
      <c r="A14" s="8" t="s">
        <v>70</v>
      </c>
      <c r="B14" s="21" t="s">
        <v>127</v>
      </c>
      <c r="C14" s="12">
        <v>2</v>
      </c>
      <c r="D14" s="13" t="s">
        <v>87</v>
      </c>
      <c r="E14" s="24" t="s">
        <v>137</v>
      </c>
      <c r="F14" s="27" t="s">
        <v>117</v>
      </c>
      <c r="G14" s="40"/>
    </row>
    <row r="15" spans="1:8" ht="70" customHeight="1" x14ac:dyDescent="0.35">
      <c r="A15" s="8" t="s">
        <v>71</v>
      </c>
      <c r="B15" s="21" t="s">
        <v>128</v>
      </c>
      <c r="C15" s="12">
        <v>2</v>
      </c>
      <c r="D15" s="13" t="s">
        <v>87</v>
      </c>
      <c r="E15" s="24" t="s">
        <v>138</v>
      </c>
      <c r="F15" s="27" t="s">
        <v>118</v>
      </c>
      <c r="G15" s="40"/>
    </row>
    <row r="16" spans="1:8" ht="70" customHeight="1" x14ac:dyDescent="0.35">
      <c r="A16" s="8" t="s">
        <v>72</v>
      </c>
      <c r="B16" s="21" t="s">
        <v>129</v>
      </c>
      <c r="C16" s="12">
        <v>4</v>
      </c>
      <c r="D16" s="13" t="s">
        <v>87</v>
      </c>
      <c r="E16" s="24" t="s">
        <v>139</v>
      </c>
      <c r="F16" s="27" t="s">
        <v>119</v>
      </c>
      <c r="G16" s="40"/>
    </row>
    <row r="17" spans="1:7" ht="70" customHeight="1" x14ac:dyDescent="0.35">
      <c r="A17" s="8" t="s">
        <v>73</v>
      </c>
      <c r="B17" s="21" t="s">
        <v>130</v>
      </c>
      <c r="C17" s="12">
        <v>3</v>
      </c>
      <c r="D17" s="13" t="s">
        <v>87</v>
      </c>
      <c r="E17" s="24" t="s">
        <v>140</v>
      </c>
      <c r="F17" s="27" t="s">
        <v>120</v>
      </c>
      <c r="G17" s="41"/>
    </row>
    <row r="18" spans="1:7" x14ac:dyDescent="0.35">
      <c r="A18" s="34" t="s">
        <v>18</v>
      </c>
      <c r="B18" s="42"/>
      <c r="C18" s="14">
        <f>SUM(C13:C17)</f>
        <v>15</v>
      </c>
      <c r="D18" s="18" t="s">
        <v>87</v>
      </c>
      <c r="E18" s="5" t="s">
        <v>89</v>
      </c>
      <c r="F18" s="11" t="s">
        <v>90</v>
      </c>
      <c r="G18" s="15"/>
    </row>
    <row r="20" spans="1:7" x14ac:dyDescent="0.35">
      <c r="A20" s="16" t="s">
        <v>86</v>
      </c>
    </row>
    <row r="22" spans="1:7" x14ac:dyDescent="0.35">
      <c r="F22" s="3" t="s">
        <v>222</v>
      </c>
    </row>
    <row r="23" spans="1:7" x14ac:dyDescent="0.35">
      <c r="B23" s="3" t="s">
        <v>27</v>
      </c>
    </row>
    <row r="24" spans="1:7" x14ac:dyDescent="0.35">
      <c r="B24" s="3" t="s">
        <v>225</v>
      </c>
      <c r="F24" s="3" t="s">
        <v>26</v>
      </c>
    </row>
    <row r="25" spans="1:7" x14ac:dyDescent="0.35">
      <c r="B25" s="3"/>
    </row>
    <row r="26" spans="1:7" x14ac:dyDescent="0.35">
      <c r="B26" s="3"/>
    </row>
    <row r="27" spans="1:7" x14ac:dyDescent="0.35">
      <c r="B27" s="3"/>
    </row>
    <row r="28" spans="1:7" x14ac:dyDescent="0.35">
      <c r="B28" s="17" t="s">
        <v>226</v>
      </c>
      <c r="F28" s="17" t="s">
        <v>223</v>
      </c>
    </row>
    <row r="29" spans="1:7" x14ac:dyDescent="0.35">
      <c r="B29" s="3" t="s">
        <v>227</v>
      </c>
      <c r="F29" s="3" t="s">
        <v>224</v>
      </c>
    </row>
  </sheetData>
  <mergeCells count="6">
    <mergeCell ref="A18:B18"/>
    <mergeCell ref="A1:G1"/>
    <mergeCell ref="C6:D6"/>
    <mergeCell ref="G7:G11"/>
    <mergeCell ref="A12:B12"/>
    <mergeCell ref="G13:G17"/>
  </mergeCells>
  <phoneticPr fontId="4" type="noConversion"/>
  <pageMargins left="0.39370078740157483" right="0.19685039370078741" top="0.39370078740157483" bottom="0.19685039370078741" header="0.31496062992125984" footer="0.31496062992125984"/>
  <pageSetup paperSize="10000" scale="91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70F51-E015-4EC9-90D7-3D566B6A1AE8}">
  <sheetPr>
    <pageSetUpPr fitToPage="1"/>
  </sheetPr>
  <dimension ref="A1:H29"/>
  <sheetViews>
    <sheetView workbookViewId="0">
      <selection activeCell="C2" sqref="C2"/>
    </sheetView>
  </sheetViews>
  <sheetFormatPr defaultRowHeight="14" x14ac:dyDescent="0.35"/>
  <cols>
    <col min="1" max="1" width="6.81640625" style="1" customWidth="1"/>
    <col min="2" max="2" width="46.453125" style="1" customWidth="1"/>
    <col min="3" max="3" width="3.26953125" style="1" customWidth="1"/>
    <col min="4" max="4" width="6.453125" style="1" customWidth="1"/>
    <col min="5" max="5" width="22" style="1" customWidth="1"/>
    <col min="6" max="6" width="16" style="1" customWidth="1"/>
    <col min="7" max="7" width="10.26953125" style="1" customWidth="1"/>
    <col min="8" max="16384" width="8.7265625" style="1"/>
  </cols>
  <sheetData>
    <row r="1" spans="1:8" ht="15" x14ac:dyDescent="0.35">
      <c r="A1" s="35" t="s">
        <v>20</v>
      </c>
      <c r="B1" s="35"/>
      <c r="C1" s="35"/>
      <c r="D1" s="35"/>
      <c r="E1" s="35"/>
      <c r="F1" s="35"/>
      <c r="G1" s="35"/>
    </row>
    <row r="3" spans="1:8" x14ac:dyDescent="0.35">
      <c r="B3" s="2" t="s">
        <v>22</v>
      </c>
      <c r="C3" s="2" t="s">
        <v>221</v>
      </c>
      <c r="D3" s="2"/>
      <c r="E3" s="2"/>
      <c r="F3" s="2" t="s">
        <v>23</v>
      </c>
      <c r="G3" s="2" t="s">
        <v>52</v>
      </c>
    </row>
    <row r="4" spans="1:8" x14ac:dyDescent="0.35">
      <c r="B4" s="2" t="s">
        <v>21</v>
      </c>
      <c r="C4" s="2" t="s">
        <v>85</v>
      </c>
      <c r="D4" s="2"/>
      <c r="E4" s="2"/>
      <c r="F4" s="2" t="s">
        <v>24</v>
      </c>
      <c r="G4" s="2" t="s">
        <v>25</v>
      </c>
    </row>
    <row r="6" spans="1:8" ht="29.5" customHeight="1" x14ac:dyDescent="0.35">
      <c r="A6" s="4" t="s">
        <v>5</v>
      </c>
      <c r="B6" s="5" t="s">
        <v>0</v>
      </c>
      <c r="C6" s="36" t="s">
        <v>1</v>
      </c>
      <c r="D6" s="36"/>
      <c r="E6" s="6" t="s">
        <v>2</v>
      </c>
      <c r="F6" s="5" t="s">
        <v>3</v>
      </c>
      <c r="G6" s="7" t="s">
        <v>4</v>
      </c>
      <c r="H6" s="3"/>
    </row>
    <row r="7" spans="1:8" ht="70" customHeight="1" x14ac:dyDescent="0.35">
      <c r="A7" s="8" t="s">
        <v>53</v>
      </c>
      <c r="B7" s="23" t="s">
        <v>141</v>
      </c>
      <c r="C7" s="12">
        <v>4</v>
      </c>
      <c r="D7" s="13" t="s">
        <v>87</v>
      </c>
      <c r="E7" s="10" t="s">
        <v>151</v>
      </c>
      <c r="F7" s="27" t="s">
        <v>106</v>
      </c>
      <c r="G7" s="37" t="s">
        <v>12</v>
      </c>
    </row>
    <row r="8" spans="1:8" ht="70" customHeight="1" x14ac:dyDescent="0.35">
      <c r="A8" s="8" t="s">
        <v>54</v>
      </c>
      <c r="B8" s="21" t="s">
        <v>142</v>
      </c>
      <c r="C8" s="12">
        <v>2</v>
      </c>
      <c r="D8" s="13" t="s">
        <v>87</v>
      </c>
      <c r="E8" s="24" t="s">
        <v>152</v>
      </c>
      <c r="F8" s="27" t="s">
        <v>107</v>
      </c>
      <c r="G8" s="38"/>
    </row>
    <row r="9" spans="1:8" ht="70" customHeight="1" x14ac:dyDescent="0.35">
      <c r="A9" s="8" t="s">
        <v>55</v>
      </c>
      <c r="B9" s="21" t="s">
        <v>143</v>
      </c>
      <c r="C9" s="12">
        <v>2</v>
      </c>
      <c r="D9" s="13" t="s">
        <v>87</v>
      </c>
      <c r="E9" s="24" t="s">
        <v>153</v>
      </c>
      <c r="F9" s="27" t="s">
        <v>108</v>
      </c>
      <c r="G9" s="38"/>
    </row>
    <row r="10" spans="1:8" ht="70" customHeight="1" x14ac:dyDescent="0.35">
      <c r="A10" s="8" t="s">
        <v>56</v>
      </c>
      <c r="B10" s="21" t="s">
        <v>144</v>
      </c>
      <c r="C10" s="12">
        <v>4</v>
      </c>
      <c r="D10" s="13" t="s">
        <v>87</v>
      </c>
      <c r="E10" s="24" t="s">
        <v>154</v>
      </c>
      <c r="F10" s="27" t="s">
        <v>109</v>
      </c>
      <c r="G10" s="38"/>
    </row>
    <row r="11" spans="1:8" ht="70" customHeight="1" x14ac:dyDescent="0.35">
      <c r="A11" s="8" t="s">
        <v>57</v>
      </c>
      <c r="B11" s="21" t="s">
        <v>145</v>
      </c>
      <c r="C11" s="12">
        <v>3</v>
      </c>
      <c r="D11" s="13" t="s">
        <v>87</v>
      </c>
      <c r="E11" s="24" t="s">
        <v>155</v>
      </c>
      <c r="F11" s="27" t="s">
        <v>110</v>
      </c>
      <c r="G11" s="38"/>
    </row>
    <row r="12" spans="1:8" x14ac:dyDescent="0.35">
      <c r="A12" s="34" t="s">
        <v>13</v>
      </c>
      <c r="B12" s="42"/>
      <c r="C12" s="14">
        <f>SUM(C7:C11)</f>
        <v>15</v>
      </c>
      <c r="D12" s="18" t="s">
        <v>87</v>
      </c>
      <c r="E12" s="9" t="s">
        <v>89</v>
      </c>
      <c r="F12" s="11" t="s">
        <v>90</v>
      </c>
      <c r="G12" s="15"/>
    </row>
    <row r="13" spans="1:8" ht="70" customHeight="1" x14ac:dyDescent="0.35">
      <c r="A13" s="8" t="s">
        <v>58</v>
      </c>
      <c r="B13" s="21" t="s">
        <v>146</v>
      </c>
      <c r="C13" s="12">
        <v>4</v>
      </c>
      <c r="D13" s="13" t="s">
        <v>87</v>
      </c>
      <c r="E13" s="10" t="s">
        <v>156</v>
      </c>
      <c r="F13" s="27" t="s">
        <v>116</v>
      </c>
      <c r="G13" s="39" t="s">
        <v>19</v>
      </c>
    </row>
    <row r="14" spans="1:8" ht="70" customHeight="1" x14ac:dyDescent="0.35">
      <c r="A14" s="8" t="s">
        <v>59</v>
      </c>
      <c r="B14" s="21" t="s">
        <v>147</v>
      </c>
      <c r="C14" s="12">
        <v>2</v>
      </c>
      <c r="D14" s="13" t="s">
        <v>87</v>
      </c>
      <c r="E14" s="24" t="s">
        <v>157</v>
      </c>
      <c r="F14" s="27" t="s">
        <v>117</v>
      </c>
      <c r="G14" s="40"/>
    </row>
    <row r="15" spans="1:8" ht="70" customHeight="1" x14ac:dyDescent="0.35">
      <c r="A15" s="8" t="s">
        <v>60</v>
      </c>
      <c r="B15" s="21" t="s">
        <v>148</v>
      </c>
      <c r="C15" s="12">
        <v>2</v>
      </c>
      <c r="D15" s="13" t="s">
        <v>87</v>
      </c>
      <c r="E15" s="24" t="s">
        <v>158</v>
      </c>
      <c r="F15" s="27" t="s">
        <v>118</v>
      </c>
      <c r="G15" s="40"/>
    </row>
    <row r="16" spans="1:8" ht="70" customHeight="1" x14ac:dyDescent="0.35">
      <c r="A16" s="8" t="s">
        <v>61</v>
      </c>
      <c r="B16" s="21" t="s">
        <v>149</v>
      </c>
      <c r="C16" s="12">
        <v>4</v>
      </c>
      <c r="D16" s="13" t="s">
        <v>87</v>
      </c>
      <c r="E16" s="24" t="s">
        <v>159</v>
      </c>
      <c r="F16" s="27" t="s">
        <v>119</v>
      </c>
      <c r="G16" s="40"/>
    </row>
    <row r="17" spans="1:7" ht="70" customHeight="1" x14ac:dyDescent="0.35">
      <c r="A17" s="8" t="s">
        <v>62</v>
      </c>
      <c r="B17" s="21" t="s">
        <v>150</v>
      </c>
      <c r="C17" s="12">
        <v>3</v>
      </c>
      <c r="D17" s="13" t="s">
        <v>87</v>
      </c>
      <c r="E17" s="24" t="s">
        <v>160</v>
      </c>
      <c r="F17" s="27" t="s">
        <v>120</v>
      </c>
      <c r="G17" s="41"/>
    </row>
    <row r="18" spans="1:7" x14ac:dyDescent="0.35">
      <c r="A18" s="34" t="s">
        <v>18</v>
      </c>
      <c r="B18" s="42"/>
      <c r="C18" s="14">
        <f>SUM(C13:C17)</f>
        <v>15</v>
      </c>
      <c r="D18" s="18" t="s">
        <v>87</v>
      </c>
      <c r="E18" s="9" t="s">
        <v>89</v>
      </c>
      <c r="F18" s="11" t="s">
        <v>90</v>
      </c>
      <c r="G18" s="15"/>
    </row>
    <row r="20" spans="1:7" x14ac:dyDescent="0.35">
      <c r="A20" s="16" t="s">
        <v>86</v>
      </c>
    </row>
    <row r="22" spans="1:7" x14ac:dyDescent="0.35">
      <c r="F22" s="3" t="s">
        <v>222</v>
      </c>
    </row>
    <row r="23" spans="1:7" x14ac:dyDescent="0.35">
      <c r="B23" s="3" t="s">
        <v>27</v>
      </c>
    </row>
    <row r="24" spans="1:7" x14ac:dyDescent="0.35">
      <c r="B24" s="3" t="s">
        <v>225</v>
      </c>
      <c r="F24" s="3" t="s">
        <v>26</v>
      </c>
    </row>
    <row r="25" spans="1:7" x14ac:dyDescent="0.35">
      <c r="B25" s="3"/>
    </row>
    <row r="26" spans="1:7" x14ac:dyDescent="0.35">
      <c r="B26" s="3"/>
    </row>
    <row r="27" spans="1:7" x14ac:dyDescent="0.35">
      <c r="B27" s="3"/>
    </row>
    <row r="28" spans="1:7" x14ac:dyDescent="0.35">
      <c r="B28" s="17" t="s">
        <v>226</v>
      </c>
      <c r="F28" s="17" t="s">
        <v>223</v>
      </c>
    </row>
    <row r="29" spans="1:7" x14ac:dyDescent="0.35">
      <c r="B29" s="3" t="s">
        <v>227</v>
      </c>
      <c r="F29" s="3" t="s">
        <v>224</v>
      </c>
    </row>
  </sheetData>
  <mergeCells count="6">
    <mergeCell ref="A18:B18"/>
    <mergeCell ref="A1:G1"/>
    <mergeCell ref="C6:D6"/>
    <mergeCell ref="G7:G11"/>
    <mergeCell ref="A12:B12"/>
    <mergeCell ref="G13:G17"/>
  </mergeCells>
  <phoneticPr fontId="4" type="noConversion"/>
  <pageMargins left="0.39370078740157483" right="0.19685039370078741" top="0.39370078740157483" bottom="0.19685039370078741" header="0.31496062992125984" footer="0.31496062992125984"/>
  <pageSetup paperSize="10000" scale="91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0EBA6-9599-41AE-934F-81524E554A4D}">
  <sheetPr>
    <pageSetUpPr fitToPage="1"/>
  </sheetPr>
  <dimension ref="A1:H29"/>
  <sheetViews>
    <sheetView workbookViewId="0">
      <selection activeCell="C2" sqref="C2"/>
    </sheetView>
  </sheetViews>
  <sheetFormatPr defaultRowHeight="14" x14ac:dyDescent="0.35"/>
  <cols>
    <col min="1" max="1" width="6.81640625" style="1" customWidth="1"/>
    <col min="2" max="2" width="46.453125" style="1" customWidth="1"/>
    <col min="3" max="3" width="3.26953125" style="1" customWidth="1"/>
    <col min="4" max="4" width="6.453125" style="1" customWidth="1"/>
    <col min="5" max="5" width="22" style="1" customWidth="1"/>
    <col min="6" max="6" width="16" style="1" customWidth="1"/>
    <col min="7" max="7" width="10.26953125" style="1" customWidth="1"/>
    <col min="8" max="16384" width="8.7265625" style="1"/>
  </cols>
  <sheetData>
    <row r="1" spans="1:8" ht="15" x14ac:dyDescent="0.35">
      <c r="A1" s="35" t="s">
        <v>20</v>
      </c>
      <c r="B1" s="35"/>
      <c r="C1" s="35"/>
      <c r="D1" s="35"/>
      <c r="E1" s="35"/>
      <c r="F1" s="35"/>
      <c r="G1" s="35"/>
    </row>
    <row r="3" spans="1:8" x14ac:dyDescent="0.35">
      <c r="B3" s="2" t="s">
        <v>22</v>
      </c>
      <c r="C3" s="2" t="s">
        <v>221</v>
      </c>
      <c r="D3" s="2"/>
      <c r="E3" s="2"/>
      <c r="F3" s="2" t="s">
        <v>23</v>
      </c>
      <c r="G3" s="2" t="s">
        <v>41</v>
      </c>
    </row>
    <row r="4" spans="1:8" x14ac:dyDescent="0.35">
      <c r="B4" s="2" t="s">
        <v>21</v>
      </c>
      <c r="C4" s="2" t="s">
        <v>85</v>
      </c>
      <c r="D4" s="2"/>
      <c r="E4" s="2"/>
      <c r="F4" s="2" t="s">
        <v>24</v>
      </c>
      <c r="G4" s="2" t="s">
        <v>25</v>
      </c>
    </row>
    <row r="6" spans="1:8" ht="29.5" customHeight="1" x14ac:dyDescent="0.35">
      <c r="A6" s="4" t="s">
        <v>5</v>
      </c>
      <c r="B6" s="5" t="s">
        <v>0</v>
      </c>
      <c r="C6" s="36" t="s">
        <v>1</v>
      </c>
      <c r="D6" s="36"/>
      <c r="E6" s="6" t="s">
        <v>2</v>
      </c>
      <c r="F6" s="5" t="s">
        <v>3</v>
      </c>
      <c r="G6" s="7" t="s">
        <v>4</v>
      </c>
      <c r="H6" s="3"/>
    </row>
    <row r="7" spans="1:8" ht="70" customHeight="1" x14ac:dyDescent="0.35">
      <c r="A7" s="8" t="s">
        <v>42</v>
      </c>
      <c r="B7" s="23" t="s">
        <v>161</v>
      </c>
      <c r="C7" s="12">
        <v>4</v>
      </c>
      <c r="D7" s="13" t="s">
        <v>87</v>
      </c>
      <c r="E7" s="24" t="s">
        <v>171</v>
      </c>
      <c r="F7" s="27" t="s">
        <v>106</v>
      </c>
      <c r="G7" s="37" t="s">
        <v>12</v>
      </c>
    </row>
    <row r="8" spans="1:8" ht="70" customHeight="1" x14ac:dyDescent="0.35">
      <c r="A8" s="8" t="s">
        <v>43</v>
      </c>
      <c r="B8" s="21" t="s">
        <v>162</v>
      </c>
      <c r="C8" s="12">
        <v>3</v>
      </c>
      <c r="D8" s="13" t="s">
        <v>87</v>
      </c>
      <c r="E8" s="24" t="s">
        <v>172</v>
      </c>
      <c r="F8" s="27" t="s">
        <v>107</v>
      </c>
      <c r="G8" s="38"/>
    </row>
    <row r="9" spans="1:8" ht="70" customHeight="1" x14ac:dyDescent="0.35">
      <c r="A9" s="8" t="s">
        <v>44</v>
      </c>
      <c r="B9" s="21" t="s">
        <v>163</v>
      </c>
      <c r="C9" s="12">
        <v>2</v>
      </c>
      <c r="D9" s="13" t="s">
        <v>87</v>
      </c>
      <c r="E9" s="24" t="s">
        <v>173</v>
      </c>
      <c r="F9" s="27" t="s">
        <v>108</v>
      </c>
      <c r="G9" s="38"/>
    </row>
    <row r="10" spans="1:8" ht="70" customHeight="1" x14ac:dyDescent="0.35">
      <c r="A10" s="8" t="s">
        <v>45</v>
      </c>
      <c r="B10" s="21" t="s">
        <v>164</v>
      </c>
      <c r="C10" s="12">
        <v>4</v>
      </c>
      <c r="D10" s="13" t="s">
        <v>87</v>
      </c>
      <c r="E10" s="24" t="s">
        <v>174</v>
      </c>
      <c r="F10" s="27" t="s">
        <v>109</v>
      </c>
      <c r="G10" s="38"/>
    </row>
    <row r="11" spans="1:8" ht="70" customHeight="1" x14ac:dyDescent="0.35">
      <c r="A11" s="8" t="s">
        <v>46</v>
      </c>
      <c r="B11" s="21" t="s">
        <v>165</v>
      </c>
      <c r="C11" s="12">
        <v>3</v>
      </c>
      <c r="D11" s="13" t="s">
        <v>87</v>
      </c>
      <c r="E11" s="26" t="s">
        <v>175</v>
      </c>
      <c r="F11" s="27" t="s">
        <v>110</v>
      </c>
      <c r="G11" s="38"/>
    </row>
    <row r="12" spans="1:8" x14ac:dyDescent="0.35">
      <c r="A12" s="34" t="s">
        <v>13</v>
      </c>
      <c r="B12" s="42"/>
      <c r="C12" s="14">
        <f>SUM(C7:C11)</f>
        <v>16</v>
      </c>
      <c r="D12" s="18" t="s">
        <v>87</v>
      </c>
      <c r="E12" s="9" t="s">
        <v>88</v>
      </c>
      <c r="F12" s="11" t="s">
        <v>40</v>
      </c>
      <c r="G12" s="15"/>
    </row>
    <row r="13" spans="1:8" ht="70" customHeight="1" x14ac:dyDescent="0.35">
      <c r="A13" s="8" t="s">
        <v>47</v>
      </c>
      <c r="B13" s="21" t="s">
        <v>166</v>
      </c>
      <c r="C13" s="12">
        <v>4</v>
      </c>
      <c r="D13" s="13" t="s">
        <v>87</v>
      </c>
      <c r="E13" s="24" t="s">
        <v>176</v>
      </c>
      <c r="F13" s="27" t="s">
        <v>116</v>
      </c>
      <c r="G13" s="39" t="s">
        <v>19</v>
      </c>
    </row>
    <row r="14" spans="1:8" ht="70" customHeight="1" x14ac:dyDescent="0.35">
      <c r="A14" s="8" t="s">
        <v>48</v>
      </c>
      <c r="B14" s="21" t="s">
        <v>167</v>
      </c>
      <c r="C14" s="12">
        <v>3</v>
      </c>
      <c r="D14" s="13" t="s">
        <v>87</v>
      </c>
      <c r="E14" s="24" t="s">
        <v>177</v>
      </c>
      <c r="F14" s="27" t="s">
        <v>117</v>
      </c>
      <c r="G14" s="40"/>
    </row>
    <row r="15" spans="1:8" ht="70" customHeight="1" x14ac:dyDescent="0.35">
      <c r="A15" s="8" t="s">
        <v>49</v>
      </c>
      <c r="B15" s="21" t="s">
        <v>168</v>
      </c>
      <c r="C15" s="12">
        <v>2</v>
      </c>
      <c r="D15" s="13" t="s">
        <v>87</v>
      </c>
      <c r="E15" s="24" t="s">
        <v>178</v>
      </c>
      <c r="F15" s="27" t="s">
        <v>118</v>
      </c>
      <c r="G15" s="40"/>
    </row>
    <row r="16" spans="1:8" ht="70" customHeight="1" x14ac:dyDescent="0.35">
      <c r="A16" s="8" t="s">
        <v>50</v>
      </c>
      <c r="B16" s="21" t="s">
        <v>169</v>
      </c>
      <c r="C16" s="12">
        <v>4</v>
      </c>
      <c r="D16" s="13" t="s">
        <v>87</v>
      </c>
      <c r="E16" s="24" t="s">
        <v>179</v>
      </c>
      <c r="F16" s="27" t="s">
        <v>119</v>
      </c>
      <c r="G16" s="40"/>
    </row>
    <row r="17" spans="1:7" ht="70" customHeight="1" x14ac:dyDescent="0.35">
      <c r="A17" s="8" t="s">
        <v>51</v>
      </c>
      <c r="B17" s="21" t="s">
        <v>170</v>
      </c>
      <c r="C17" s="12">
        <v>3</v>
      </c>
      <c r="D17" s="13" t="s">
        <v>87</v>
      </c>
      <c r="E17" s="26" t="s">
        <v>180</v>
      </c>
      <c r="F17" s="27" t="s">
        <v>120</v>
      </c>
      <c r="G17" s="41"/>
    </row>
    <row r="18" spans="1:7" x14ac:dyDescent="0.35">
      <c r="A18" s="34" t="s">
        <v>18</v>
      </c>
      <c r="B18" s="42"/>
      <c r="C18" s="14">
        <f>SUM(C13:C17)</f>
        <v>16</v>
      </c>
      <c r="D18" s="18" t="s">
        <v>87</v>
      </c>
      <c r="E18" s="9" t="s">
        <v>88</v>
      </c>
      <c r="F18" s="11" t="s">
        <v>40</v>
      </c>
      <c r="G18" s="15"/>
    </row>
    <row r="20" spans="1:7" x14ac:dyDescent="0.35">
      <c r="A20" s="16" t="s">
        <v>86</v>
      </c>
    </row>
    <row r="22" spans="1:7" x14ac:dyDescent="0.35">
      <c r="F22" s="3" t="s">
        <v>222</v>
      </c>
    </row>
    <row r="23" spans="1:7" x14ac:dyDescent="0.35">
      <c r="B23" s="3" t="s">
        <v>27</v>
      </c>
    </row>
    <row r="24" spans="1:7" x14ac:dyDescent="0.35">
      <c r="B24" s="3" t="s">
        <v>225</v>
      </c>
      <c r="F24" s="3" t="s">
        <v>26</v>
      </c>
    </row>
    <row r="25" spans="1:7" x14ac:dyDescent="0.35">
      <c r="B25" s="3"/>
    </row>
    <row r="26" spans="1:7" x14ac:dyDescent="0.35">
      <c r="B26" s="3"/>
    </row>
    <row r="27" spans="1:7" x14ac:dyDescent="0.35">
      <c r="B27" s="3"/>
    </row>
    <row r="28" spans="1:7" x14ac:dyDescent="0.35">
      <c r="B28" s="17" t="s">
        <v>226</v>
      </c>
      <c r="F28" s="17" t="s">
        <v>223</v>
      </c>
    </row>
    <row r="29" spans="1:7" x14ac:dyDescent="0.35">
      <c r="B29" s="3" t="s">
        <v>227</v>
      </c>
      <c r="F29" s="3" t="s">
        <v>224</v>
      </c>
    </row>
  </sheetData>
  <mergeCells count="6">
    <mergeCell ref="A18:B18"/>
    <mergeCell ref="A1:G1"/>
    <mergeCell ref="C6:D6"/>
    <mergeCell ref="G7:G11"/>
    <mergeCell ref="A12:B12"/>
    <mergeCell ref="G13:G17"/>
  </mergeCells>
  <phoneticPr fontId="4" type="noConversion"/>
  <pageMargins left="0.39370078740157483" right="0.19685039370078741" top="0.39370078740157483" bottom="0.19685039370078741" header="0.31496062992125984" footer="0.31496062992125984"/>
  <pageSetup paperSize="10000" scale="91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24DE3-71B7-4F10-B8CF-4453AD762B01}">
  <sheetPr>
    <pageSetUpPr fitToPage="1"/>
  </sheetPr>
  <dimension ref="A1:H29"/>
  <sheetViews>
    <sheetView workbookViewId="0">
      <selection activeCell="C2" sqref="C2"/>
    </sheetView>
  </sheetViews>
  <sheetFormatPr defaultRowHeight="14" x14ac:dyDescent="0.35"/>
  <cols>
    <col min="1" max="1" width="6.81640625" style="1" customWidth="1"/>
    <col min="2" max="2" width="46.453125" style="1" customWidth="1"/>
    <col min="3" max="3" width="3.26953125" style="1" customWidth="1"/>
    <col min="4" max="4" width="6.453125" style="1" customWidth="1"/>
    <col min="5" max="5" width="22" style="1" customWidth="1"/>
    <col min="6" max="6" width="16" style="1" customWidth="1"/>
    <col min="7" max="7" width="10.26953125" style="1" customWidth="1"/>
    <col min="8" max="16384" width="8.7265625" style="1"/>
  </cols>
  <sheetData>
    <row r="1" spans="1:8" ht="15" x14ac:dyDescent="0.35">
      <c r="A1" s="35" t="s">
        <v>20</v>
      </c>
      <c r="B1" s="35"/>
      <c r="C1" s="35"/>
      <c r="D1" s="35"/>
      <c r="E1" s="35"/>
      <c r="F1" s="35"/>
      <c r="G1" s="35"/>
    </row>
    <row r="3" spans="1:8" x14ac:dyDescent="0.35">
      <c r="B3" s="2" t="s">
        <v>22</v>
      </c>
      <c r="C3" s="2" t="s">
        <v>221</v>
      </c>
      <c r="D3" s="2"/>
      <c r="E3" s="2"/>
      <c r="F3" s="2" t="s">
        <v>23</v>
      </c>
      <c r="G3" s="2" t="s">
        <v>28</v>
      </c>
    </row>
    <row r="4" spans="1:8" x14ac:dyDescent="0.35">
      <c r="B4" s="2" t="s">
        <v>21</v>
      </c>
      <c r="C4" s="2" t="s">
        <v>85</v>
      </c>
      <c r="D4" s="2"/>
      <c r="E4" s="2"/>
      <c r="F4" s="2" t="s">
        <v>24</v>
      </c>
      <c r="G4" s="2" t="s">
        <v>25</v>
      </c>
    </row>
    <row r="6" spans="1:8" ht="29.5" customHeight="1" x14ac:dyDescent="0.35">
      <c r="A6" s="4" t="s">
        <v>5</v>
      </c>
      <c r="B6" s="5" t="s">
        <v>0</v>
      </c>
      <c r="C6" s="36" t="s">
        <v>1</v>
      </c>
      <c r="D6" s="36"/>
      <c r="E6" s="6" t="s">
        <v>2</v>
      </c>
      <c r="F6" s="5" t="s">
        <v>3</v>
      </c>
      <c r="G6" s="7" t="s">
        <v>4</v>
      </c>
      <c r="H6" s="3"/>
    </row>
    <row r="7" spans="1:8" ht="70" customHeight="1" x14ac:dyDescent="0.35">
      <c r="A7" s="8" t="s">
        <v>30</v>
      </c>
      <c r="B7" s="21" t="s">
        <v>181</v>
      </c>
      <c r="C7" s="12">
        <v>4</v>
      </c>
      <c r="D7" s="13" t="s">
        <v>87</v>
      </c>
      <c r="E7" s="24" t="s">
        <v>191</v>
      </c>
      <c r="F7" s="27" t="s">
        <v>106</v>
      </c>
      <c r="G7" s="37" t="s">
        <v>12</v>
      </c>
    </row>
    <row r="8" spans="1:8" ht="70" customHeight="1" x14ac:dyDescent="0.35">
      <c r="A8" s="8" t="s">
        <v>31</v>
      </c>
      <c r="B8" s="21" t="s">
        <v>182</v>
      </c>
      <c r="C8" s="12">
        <v>3</v>
      </c>
      <c r="D8" s="13" t="s">
        <v>87</v>
      </c>
      <c r="E8" s="24" t="s">
        <v>192</v>
      </c>
      <c r="F8" s="27" t="s">
        <v>107</v>
      </c>
      <c r="G8" s="38"/>
    </row>
    <row r="9" spans="1:8" ht="70" customHeight="1" x14ac:dyDescent="0.35">
      <c r="A9" s="8" t="s">
        <v>32</v>
      </c>
      <c r="B9" s="21" t="s">
        <v>183</v>
      </c>
      <c r="C9" s="12">
        <v>2</v>
      </c>
      <c r="D9" s="13" t="s">
        <v>87</v>
      </c>
      <c r="E9" s="24" t="s">
        <v>193</v>
      </c>
      <c r="F9" s="27" t="s">
        <v>108</v>
      </c>
      <c r="G9" s="38"/>
    </row>
    <row r="10" spans="1:8" ht="70" customHeight="1" x14ac:dyDescent="0.35">
      <c r="A10" s="8" t="s">
        <v>33</v>
      </c>
      <c r="B10" s="21" t="s">
        <v>184</v>
      </c>
      <c r="C10" s="12">
        <v>4</v>
      </c>
      <c r="D10" s="13" t="s">
        <v>87</v>
      </c>
      <c r="E10" s="24" t="s">
        <v>194</v>
      </c>
      <c r="F10" s="27" t="s">
        <v>109</v>
      </c>
      <c r="G10" s="38"/>
    </row>
    <row r="11" spans="1:8" ht="70" customHeight="1" x14ac:dyDescent="0.35">
      <c r="A11" s="8" t="s">
        <v>34</v>
      </c>
      <c r="B11" s="21" t="s">
        <v>185</v>
      </c>
      <c r="C11" s="12">
        <v>3</v>
      </c>
      <c r="D11" s="13" t="s">
        <v>87</v>
      </c>
      <c r="E11" s="26" t="s">
        <v>195</v>
      </c>
      <c r="F11" s="27" t="s">
        <v>110</v>
      </c>
      <c r="G11" s="38"/>
    </row>
    <row r="12" spans="1:8" x14ac:dyDescent="0.35">
      <c r="A12" s="34" t="s">
        <v>13</v>
      </c>
      <c r="B12" s="42"/>
      <c r="C12" s="14">
        <f>SUM(C7:C11)</f>
        <v>16</v>
      </c>
      <c r="D12" s="18" t="s">
        <v>87</v>
      </c>
      <c r="E12" s="5" t="s">
        <v>88</v>
      </c>
      <c r="F12" s="11" t="s">
        <v>40</v>
      </c>
      <c r="G12" s="15"/>
    </row>
    <row r="13" spans="1:8" ht="70" customHeight="1" x14ac:dyDescent="0.35">
      <c r="A13" s="8" t="s">
        <v>35</v>
      </c>
      <c r="B13" s="21" t="s">
        <v>186</v>
      </c>
      <c r="C13" s="12">
        <v>4</v>
      </c>
      <c r="D13" s="13" t="s">
        <v>87</v>
      </c>
      <c r="E13" s="25" t="s">
        <v>196</v>
      </c>
      <c r="F13" s="28" t="s">
        <v>116</v>
      </c>
      <c r="G13" s="39" t="s">
        <v>19</v>
      </c>
    </row>
    <row r="14" spans="1:8" ht="70" customHeight="1" x14ac:dyDescent="0.35">
      <c r="A14" s="8" t="s">
        <v>36</v>
      </c>
      <c r="B14" s="21" t="s">
        <v>187</v>
      </c>
      <c r="C14" s="12">
        <v>3</v>
      </c>
      <c r="D14" s="13" t="s">
        <v>87</v>
      </c>
      <c r="E14" s="24" t="s">
        <v>197</v>
      </c>
      <c r="F14" s="28" t="s">
        <v>117</v>
      </c>
      <c r="G14" s="40"/>
    </row>
    <row r="15" spans="1:8" ht="70" customHeight="1" x14ac:dyDescent="0.35">
      <c r="A15" s="8" t="s">
        <v>37</v>
      </c>
      <c r="B15" s="21" t="s">
        <v>188</v>
      </c>
      <c r="C15" s="12">
        <v>2</v>
      </c>
      <c r="D15" s="13" t="s">
        <v>87</v>
      </c>
      <c r="E15" s="24" t="s">
        <v>198</v>
      </c>
      <c r="F15" s="28" t="s">
        <v>118</v>
      </c>
      <c r="G15" s="40"/>
    </row>
    <row r="16" spans="1:8" ht="70" customHeight="1" x14ac:dyDescent="0.35">
      <c r="A16" s="8" t="s">
        <v>38</v>
      </c>
      <c r="B16" s="21" t="s">
        <v>189</v>
      </c>
      <c r="C16" s="12">
        <v>4</v>
      </c>
      <c r="D16" s="13" t="s">
        <v>87</v>
      </c>
      <c r="E16" s="24" t="s">
        <v>199</v>
      </c>
      <c r="F16" s="28" t="s">
        <v>119</v>
      </c>
      <c r="G16" s="40"/>
    </row>
    <row r="17" spans="1:7" ht="70" customHeight="1" x14ac:dyDescent="0.35">
      <c r="A17" s="8" t="s">
        <v>39</v>
      </c>
      <c r="B17" s="21" t="s">
        <v>190</v>
      </c>
      <c r="C17" s="12">
        <v>3</v>
      </c>
      <c r="D17" s="13" t="s">
        <v>87</v>
      </c>
      <c r="E17" s="26" t="s">
        <v>200</v>
      </c>
      <c r="F17" s="28" t="s">
        <v>120</v>
      </c>
      <c r="G17" s="41"/>
    </row>
    <row r="18" spans="1:7" x14ac:dyDescent="0.35">
      <c r="A18" s="34" t="s">
        <v>18</v>
      </c>
      <c r="B18" s="42"/>
      <c r="C18" s="14">
        <f>SUM(C13:C17)</f>
        <v>16</v>
      </c>
      <c r="D18" s="18" t="s">
        <v>87</v>
      </c>
      <c r="E18" s="9" t="s">
        <v>88</v>
      </c>
      <c r="F18" s="5" t="s">
        <v>40</v>
      </c>
      <c r="G18" s="15"/>
    </row>
    <row r="20" spans="1:7" x14ac:dyDescent="0.35">
      <c r="A20" s="16" t="s">
        <v>86</v>
      </c>
    </row>
    <row r="22" spans="1:7" x14ac:dyDescent="0.35">
      <c r="F22" s="3" t="s">
        <v>222</v>
      </c>
    </row>
    <row r="23" spans="1:7" x14ac:dyDescent="0.35">
      <c r="B23" s="3" t="s">
        <v>27</v>
      </c>
    </row>
    <row r="24" spans="1:7" x14ac:dyDescent="0.35">
      <c r="B24" s="3" t="s">
        <v>225</v>
      </c>
      <c r="F24" s="3" t="s">
        <v>26</v>
      </c>
    </row>
    <row r="25" spans="1:7" x14ac:dyDescent="0.35">
      <c r="B25" s="3"/>
    </row>
    <row r="26" spans="1:7" x14ac:dyDescent="0.35">
      <c r="B26" s="3"/>
    </row>
    <row r="27" spans="1:7" x14ac:dyDescent="0.35">
      <c r="B27" s="3"/>
    </row>
    <row r="28" spans="1:7" x14ac:dyDescent="0.35">
      <c r="B28" s="17" t="s">
        <v>226</v>
      </c>
      <c r="F28" s="17" t="s">
        <v>223</v>
      </c>
    </row>
    <row r="29" spans="1:7" x14ac:dyDescent="0.35">
      <c r="B29" s="3" t="s">
        <v>227</v>
      </c>
      <c r="F29" s="3" t="s">
        <v>224</v>
      </c>
    </row>
  </sheetData>
  <mergeCells count="6">
    <mergeCell ref="A18:B18"/>
    <mergeCell ref="A1:G1"/>
    <mergeCell ref="C6:D6"/>
    <mergeCell ref="G7:G11"/>
    <mergeCell ref="A12:B12"/>
    <mergeCell ref="G13:G17"/>
  </mergeCells>
  <phoneticPr fontId="4" type="noConversion"/>
  <pageMargins left="0.39370078740157483" right="0.19685039370078741" top="0.39370078740157483" bottom="0.19685039370078741" header="0.31496062992125984" footer="0.31496062992125984"/>
  <pageSetup paperSize="10000" scale="91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18608-F92D-46A0-81F6-CEB03FC4D370}">
  <sheetPr>
    <pageSetUpPr fitToPage="1"/>
  </sheetPr>
  <dimension ref="A1:H29"/>
  <sheetViews>
    <sheetView tabSelected="1" zoomScaleNormal="100" workbookViewId="0">
      <selection activeCell="C2" sqref="C2"/>
    </sheetView>
  </sheetViews>
  <sheetFormatPr defaultRowHeight="14" x14ac:dyDescent="0.35"/>
  <cols>
    <col min="1" max="1" width="6.81640625" style="1" customWidth="1"/>
    <col min="2" max="2" width="46.453125" style="1" customWidth="1"/>
    <col min="3" max="3" width="3.26953125" style="1" customWidth="1"/>
    <col min="4" max="4" width="6.453125" style="1" customWidth="1"/>
    <col min="5" max="5" width="22" style="1" customWidth="1"/>
    <col min="6" max="6" width="16" style="1" customWidth="1"/>
    <col min="7" max="7" width="10.26953125" style="1" customWidth="1"/>
    <col min="8" max="16384" width="8.7265625" style="1"/>
  </cols>
  <sheetData>
    <row r="1" spans="1:8" ht="15" x14ac:dyDescent="0.35">
      <c r="A1" s="35" t="s">
        <v>20</v>
      </c>
      <c r="B1" s="35"/>
      <c r="C1" s="35"/>
      <c r="D1" s="35"/>
      <c r="E1" s="35"/>
      <c r="F1" s="35"/>
      <c r="G1" s="35"/>
    </row>
    <row r="3" spans="1:8" x14ac:dyDescent="0.35">
      <c r="B3" s="2" t="s">
        <v>22</v>
      </c>
      <c r="C3" s="2" t="s">
        <v>221</v>
      </c>
      <c r="D3" s="2"/>
      <c r="E3" s="2"/>
      <c r="F3" s="2" t="s">
        <v>23</v>
      </c>
      <c r="G3" s="2" t="s">
        <v>29</v>
      </c>
    </row>
    <row r="4" spans="1:8" x14ac:dyDescent="0.35">
      <c r="B4" s="2" t="s">
        <v>21</v>
      </c>
      <c r="C4" s="2" t="s">
        <v>85</v>
      </c>
      <c r="D4" s="2"/>
      <c r="E4" s="2"/>
      <c r="F4" s="2" t="s">
        <v>24</v>
      </c>
      <c r="G4" s="2" t="s">
        <v>25</v>
      </c>
    </row>
    <row r="6" spans="1:8" ht="29.5" customHeight="1" x14ac:dyDescent="0.35">
      <c r="A6" s="4" t="s">
        <v>5</v>
      </c>
      <c r="B6" s="5" t="s">
        <v>0</v>
      </c>
      <c r="C6" s="36" t="s">
        <v>1</v>
      </c>
      <c r="D6" s="36"/>
      <c r="E6" s="6" t="s">
        <v>2</v>
      </c>
      <c r="F6" s="5" t="s">
        <v>3</v>
      </c>
      <c r="G6" s="7" t="s">
        <v>4</v>
      </c>
      <c r="H6" s="3"/>
    </row>
    <row r="7" spans="1:8" ht="70" customHeight="1" x14ac:dyDescent="0.35">
      <c r="A7" s="8" t="s">
        <v>6</v>
      </c>
      <c r="B7" s="29" t="s">
        <v>201</v>
      </c>
      <c r="C7" s="30">
        <v>4</v>
      </c>
      <c r="D7" s="31" t="s">
        <v>87</v>
      </c>
      <c r="E7" s="24" t="s">
        <v>211</v>
      </c>
      <c r="F7" s="27" t="s">
        <v>106</v>
      </c>
      <c r="G7" s="37" t="s">
        <v>12</v>
      </c>
    </row>
    <row r="8" spans="1:8" ht="70" customHeight="1" x14ac:dyDescent="0.35">
      <c r="A8" s="8" t="s">
        <v>7</v>
      </c>
      <c r="B8" s="29" t="s">
        <v>202</v>
      </c>
      <c r="C8" s="30">
        <v>3</v>
      </c>
      <c r="D8" s="31" t="s">
        <v>87</v>
      </c>
      <c r="E8" s="24" t="s">
        <v>212</v>
      </c>
      <c r="F8" s="27" t="s">
        <v>107</v>
      </c>
      <c r="G8" s="38"/>
    </row>
    <row r="9" spans="1:8" ht="70" customHeight="1" x14ac:dyDescent="0.35">
      <c r="A9" s="8" t="s">
        <v>8</v>
      </c>
      <c r="B9" s="29" t="s">
        <v>203</v>
      </c>
      <c r="C9" s="30">
        <v>3</v>
      </c>
      <c r="D9" s="31" t="s">
        <v>87</v>
      </c>
      <c r="E9" s="24" t="s">
        <v>213</v>
      </c>
      <c r="F9" s="27" t="s">
        <v>108</v>
      </c>
      <c r="G9" s="38"/>
    </row>
    <row r="10" spans="1:8" ht="70" customHeight="1" x14ac:dyDescent="0.35">
      <c r="A10" s="8" t="s">
        <v>9</v>
      </c>
      <c r="B10" s="29" t="s">
        <v>204</v>
      </c>
      <c r="C10" s="30">
        <v>3</v>
      </c>
      <c r="D10" s="31" t="s">
        <v>87</v>
      </c>
      <c r="E10" s="24" t="s">
        <v>214</v>
      </c>
      <c r="F10" s="27" t="s">
        <v>109</v>
      </c>
      <c r="G10" s="38"/>
    </row>
    <row r="11" spans="1:8" ht="70" customHeight="1" x14ac:dyDescent="0.35">
      <c r="A11" s="8" t="s">
        <v>10</v>
      </c>
      <c r="B11" s="29" t="s">
        <v>205</v>
      </c>
      <c r="C11" s="30">
        <v>3</v>
      </c>
      <c r="D11" s="31" t="s">
        <v>87</v>
      </c>
      <c r="E11" s="24" t="s">
        <v>215</v>
      </c>
      <c r="F11" s="27" t="s">
        <v>110</v>
      </c>
      <c r="G11" s="38"/>
    </row>
    <row r="12" spans="1:8" x14ac:dyDescent="0.35">
      <c r="A12" s="34" t="s">
        <v>13</v>
      </c>
      <c r="B12" s="42"/>
      <c r="C12" s="32">
        <f>SUM(C7:C11)</f>
        <v>16</v>
      </c>
      <c r="D12" s="33" t="s">
        <v>87</v>
      </c>
      <c r="E12" s="11" t="s">
        <v>88</v>
      </c>
      <c r="F12" s="5" t="s">
        <v>40</v>
      </c>
      <c r="G12" s="22"/>
    </row>
    <row r="13" spans="1:8" ht="70" customHeight="1" x14ac:dyDescent="0.35">
      <c r="A13" s="8" t="s">
        <v>11</v>
      </c>
      <c r="B13" s="29" t="s">
        <v>206</v>
      </c>
      <c r="C13" s="30">
        <v>4</v>
      </c>
      <c r="D13" s="31" t="s">
        <v>87</v>
      </c>
      <c r="E13" s="24" t="s">
        <v>216</v>
      </c>
      <c r="F13" s="27" t="s">
        <v>116</v>
      </c>
      <c r="G13" s="37" t="s">
        <v>19</v>
      </c>
    </row>
    <row r="14" spans="1:8" ht="70" customHeight="1" x14ac:dyDescent="0.35">
      <c r="A14" s="8" t="s">
        <v>14</v>
      </c>
      <c r="B14" s="29" t="s">
        <v>207</v>
      </c>
      <c r="C14" s="30">
        <v>3</v>
      </c>
      <c r="D14" s="31" t="s">
        <v>87</v>
      </c>
      <c r="E14" s="24" t="s">
        <v>217</v>
      </c>
      <c r="F14" s="27" t="s">
        <v>117</v>
      </c>
      <c r="G14" s="37"/>
    </row>
    <row r="15" spans="1:8" ht="70" customHeight="1" x14ac:dyDescent="0.35">
      <c r="A15" s="8" t="s">
        <v>15</v>
      </c>
      <c r="B15" s="29" t="s">
        <v>208</v>
      </c>
      <c r="C15" s="30">
        <v>3</v>
      </c>
      <c r="D15" s="31" t="s">
        <v>87</v>
      </c>
      <c r="E15" s="24" t="s">
        <v>218</v>
      </c>
      <c r="F15" s="27" t="s">
        <v>118</v>
      </c>
      <c r="G15" s="37"/>
    </row>
    <row r="16" spans="1:8" ht="70" customHeight="1" x14ac:dyDescent="0.35">
      <c r="A16" s="8" t="s">
        <v>16</v>
      </c>
      <c r="B16" s="29" t="s">
        <v>209</v>
      </c>
      <c r="C16" s="30">
        <v>3</v>
      </c>
      <c r="D16" s="31" t="s">
        <v>87</v>
      </c>
      <c r="E16" s="24" t="s">
        <v>219</v>
      </c>
      <c r="F16" s="27" t="s">
        <v>119</v>
      </c>
      <c r="G16" s="37"/>
    </row>
    <row r="17" spans="1:7" ht="70" customHeight="1" x14ac:dyDescent="0.35">
      <c r="A17" s="8" t="s">
        <v>17</v>
      </c>
      <c r="B17" s="29" t="s">
        <v>210</v>
      </c>
      <c r="C17" s="30">
        <v>3</v>
      </c>
      <c r="D17" s="31" t="s">
        <v>87</v>
      </c>
      <c r="E17" s="24" t="s">
        <v>220</v>
      </c>
      <c r="F17" s="27" t="s">
        <v>120</v>
      </c>
      <c r="G17" s="37"/>
    </row>
    <row r="18" spans="1:7" x14ac:dyDescent="0.35">
      <c r="A18" s="34" t="s">
        <v>18</v>
      </c>
      <c r="B18" s="42"/>
      <c r="C18" s="14">
        <f>SUM(C13:C17)</f>
        <v>16</v>
      </c>
      <c r="D18" s="15" t="s">
        <v>87</v>
      </c>
      <c r="E18" s="11" t="s">
        <v>88</v>
      </c>
      <c r="F18" s="5" t="s">
        <v>40</v>
      </c>
      <c r="G18" s="22"/>
    </row>
    <row r="20" spans="1:7" x14ac:dyDescent="0.35">
      <c r="A20" s="16" t="s">
        <v>86</v>
      </c>
    </row>
    <row r="22" spans="1:7" x14ac:dyDescent="0.35">
      <c r="F22" s="3" t="s">
        <v>222</v>
      </c>
    </row>
    <row r="23" spans="1:7" x14ac:dyDescent="0.35">
      <c r="B23" s="3" t="s">
        <v>27</v>
      </c>
    </row>
    <row r="24" spans="1:7" x14ac:dyDescent="0.35">
      <c r="B24" s="3" t="s">
        <v>225</v>
      </c>
      <c r="F24" s="3" t="s">
        <v>26</v>
      </c>
    </row>
    <row r="25" spans="1:7" x14ac:dyDescent="0.35">
      <c r="B25" s="3"/>
    </row>
    <row r="26" spans="1:7" x14ac:dyDescent="0.35">
      <c r="B26" s="3"/>
    </row>
    <row r="27" spans="1:7" x14ac:dyDescent="0.35">
      <c r="B27" s="3"/>
    </row>
    <row r="28" spans="1:7" x14ac:dyDescent="0.35">
      <c r="B28" s="17" t="s">
        <v>226</v>
      </c>
      <c r="F28" s="17" t="s">
        <v>223</v>
      </c>
    </row>
    <row r="29" spans="1:7" x14ac:dyDescent="0.35">
      <c r="B29" s="3" t="s">
        <v>227</v>
      </c>
      <c r="F29" s="3" t="s">
        <v>224</v>
      </c>
    </row>
  </sheetData>
  <mergeCells count="6">
    <mergeCell ref="A1:G1"/>
    <mergeCell ref="C6:D6"/>
    <mergeCell ref="A12:B12"/>
    <mergeCell ref="G7:G11"/>
    <mergeCell ref="A18:B18"/>
    <mergeCell ref="G13:G17"/>
  </mergeCells>
  <phoneticPr fontId="4" type="noConversion"/>
  <pageMargins left="0.39370078740157483" right="0.19685039370078741" top="0.39370078740157483" bottom="0.19685039370078741" header="0.31496062992125984" footer="0.31496062992125984"/>
  <pageSetup paperSize="10000" scale="9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KELAS 6</vt:lpstr>
      <vt:lpstr>KELAS 5</vt:lpstr>
      <vt:lpstr>KELAS 4</vt:lpstr>
      <vt:lpstr>KELAS 3</vt:lpstr>
      <vt:lpstr>KELAS 2</vt:lpstr>
      <vt:lpstr>KELAS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ALFARISI 17</dc:creator>
  <cp:lastModifiedBy>ALFARISI 17</cp:lastModifiedBy>
  <cp:lastPrinted>2026-07-21T18:25:04Z</cp:lastPrinted>
  <dcterms:created xsi:type="dcterms:W3CDTF">2024-12-24T15:23:27Z</dcterms:created>
  <dcterms:modified xsi:type="dcterms:W3CDTF">2026-08-15T15:42:39Z</dcterms:modified>
</cp:coreProperties>
</file>